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Control Center" sheetId="2" state="hidden" r:id="rId2"/>
    <sheet xmlns:r="http://schemas.openxmlformats.org/officeDocument/2006/relationships" name="README" sheetId="3" state="visible" r:id="rId3"/>
    <sheet xmlns:r="http://schemas.openxmlformats.org/officeDocument/2006/relationships" name="P&amp;L" sheetId="4" state="visible" r:id="rId4"/>
    <sheet xmlns:r="http://schemas.openxmlformats.org/officeDocument/2006/relationships" name="Product Revenue" sheetId="5" state="visible" r:id="rId5"/>
    <sheet xmlns:r="http://schemas.openxmlformats.org/officeDocument/2006/relationships" name="Geography Revenue" sheetId="6" state="visible" r:id="rId6"/>
    <sheet xmlns:r="http://schemas.openxmlformats.org/officeDocument/2006/relationships" name="KPI Summary" sheetId="7" state="visible" r:id="rId7"/>
    <sheet xmlns:r="http://schemas.openxmlformats.org/officeDocument/2006/relationships" name="Pivot Detail" sheetId="8" state="visible" r:id="rId8"/>
    <sheet xmlns:r="http://schemas.openxmlformats.org/officeDocument/2006/relationships" name="Excel Dashboard" sheetId="9" state="hidden" r:id="rId9"/>
    <sheet xmlns:r="http://schemas.openxmlformats.org/officeDocument/2006/relationships" name="Data Dictionary" sheetId="10" state="visible" r:id="rId10"/>
    <sheet xmlns:r="http://schemas.openxmlformats.org/officeDocument/2006/relationships" name="References" sheetId="11" state="visible" r:id="rId11"/>
  </sheets>
  <definedNames>
    <definedName name="_xlnm._FilterDatabase" localSheetId="3" hidden="1">'P&amp;L'!$A$1:$G$4</definedName>
    <definedName name="_xlnm._FilterDatabase" localSheetId="4" hidden="1">'Product Revenue'!$A$1:$F$4</definedName>
    <definedName name="_xlnm._FilterDatabase" localSheetId="5" hidden="1">'Geography Revenue'!$A$1:$F$4</definedName>
    <definedName name="_xlnm._FilterDatabase" localSheetId="6" hidden="1">'KPI Summary'!$A$1:$J$4</definedName>
    <definedName name="_xlnm._FilterDatabase" localSheetId="7" hidden="1">'Pivot Detail'!$A$1:$D$49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4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14213D"/>
    </font>
    <font>
      <b val="1"/>
      <color rgb="00FFFFFF"/>
    </font>
    <font>
      <b val="1"/>
      <color rgb="00667085"/>
    </font>
    <font>
      <b val="1"/>
      <color rgb="0014213D"/>
      <sz val="18"/>
    </font>
    <font>
      <i val="1"/>
      <color rgb="00667085"/>
    </font>
    <font>
      <b val="1"/>
      <color rgb="00FFFFFF"/>
      <sz val="22"/>
    </font>
    <font>
      <b val="1"/>
      <color rgb="0014213D"/>
      <sz val="14"/>
    </font>
    <font>
      <b val="1"/>
      <color rgb="0014213D"/>
      <sz val="12"/>
    </font>
    <font>
      <b val="1"/>
    </font>
    <font>
      <b val="1"/>
      <color rgb="00FFFFFF"/>
      <sz val="18"/>
    </font>
    <font>
      <b val="1"/>
      <color rgb="0072A7FF"/>
    </font>
    <font>
      <b val="1"/>
      <color rgb="00FFFFFF"/>
      <sz val="23"/>
    </font>
    <font>
      <color rgb="009AA8BC"/>
      <sz val="11"/>
    </font>
    <font>
      <b val="1"/>
      <color rgb="009AA8BC"/>
      <sz val="9"/>
    </font>
    <font>
      <b val="1"/>
      <color rgb="00FFFFFF"/>
      <sz val="12"/>
    </font>
    <font>
      <b val="1"/>
      <color rgb="00FFFFFF"/>
      <sz val="17"/>
    </font>
    <font>
      <b val="1"/>
      <color rgb="00FFFFFF"/>
      <sz val="13"/>
    </font>
    <font>
      <b val="1"/>
      <color rgb="009AA8BC"/>
    </font>
    <font>
      <color rgb="00F5F7FB"/>
    </font>
    <font>
      <b val="1"/>
      <color rgb="0055D18B"/>
    </font>
    <font>
      <color rgb="00F5F7FB"/>
      <sz val="10"/>
    </font>
    <font>
      <i val="1"/>
      <color rgb="009AA8BC"/>
      <sz val="9"/>
    </font>
  </fonts>
  <fills count="8">
    <fill>
      <patternFill/>
    </fill>
    <fill>
      <patternFill patternType="gray125"/>
    </fill>
    <fill>
      <patternFill patternType="solid">
        <fgColor rgb="0014213D"/>
      </patternFill>
    </fill>
    <fill>
      <patternFill patternType="solid">
        <fgColor rgb="00EAF1FB"/>
      </patternFill>
    </fill>
    <fill>
      <patternFill patternType="solid">
        <fgColor rgb="00F6F8FB"/>
      </patternFill>
    </fill>
    <fill>
      <patternFill patternType="solid">
        <fgColor rgb="0008111F"/>
      </patternFill>
    </fill>
    <fill>
      <patternFill patternType="solid">
        <fgColor rgb="00132238"/>
      </patternFill>
    </fill>
    <fill>
      <patternFill patternType="solid">
        <fgColor rgb="00101B2C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4" fillId="3" borderId="0" pivotButton="0" quotePrefix="0" xfId="0"/>
    <xf numFmtId="3" fontId="5" fillId="3" borderId="0" pivotButton="0" quotePrefix="0" xfId="0"/>
    <xf numFmtId="164" fontId="5" fillId="3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8" fillId="0" borderId="0" pivotButton="0" quotePrefix="0" xfId="0"/>
    <xf numFmtId="0" fontId="4" fillId="0" borderId="0" pivotButton="0" quotePrefix="0" xfId="0"/>
    <xf numFmtId="0" fontId="9" fillId="3" borderId="0" applyAlignment="1" pivotButton="0" quotePrefix="0" xfId="0">
      <alignment horizontal="center"/>
    </xf>
    <xf numFmtId="0" fontId="3" fillId="2" borderId="0" pivotButton="0" quotePrefix="0" xfId="0"/>
    <xf numFmtId="3" fontId="5" fillId="3" borderId="0" applyAlignment="1" pivotButton="0" quotePrefix="0" xfId="0">
      <alignment horizontal="center"/>
    </xf>
    <xf numFmtId="164" fontId="5" fillId="3" borderId="0" applyAlignment="1" pivotButton="0" quotePrefix="0" xfId="0">
      <alignment horizontal="center"/>
    </xf>
    <xf numFmtId="3" fontId="0" fillId="0" borderId="0" pivotButton="0" quotePrefix="0" xfId="0"/>
    <xf numFmtId="164" fontId="10" fillId="4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12" fillId="0" borderId="0" pivotButton="0" quotePrefix="0" xfId="0"/>
    <xf numFmtId="0" fontId="4" fillId="3" borderId="0" applyAlignment="1" pivotButton="0" quotePrefix="0" xfId="0">
      <alignment vertical="center"/>
    </xf>
    <xf numFmtId="3" fontId="5" fillId="3" borderId="0" applyAlignment="1" pivotButton="0" quotePrefix="0" xfId="0">
      <alignment vertical="center"/>
    </xf>
    <xf numFmtId="164" fontId="5" fillId="3" borderId="0" applyAlignment="1" pivotButton="0" quotePrefix="0" xfId="0">
      <alignment vertical="center"/>
    </xf>
    <xf numFmtId="0" fontId="11" fillId="2" borderId="0" pivotButton="0" quotePrefix="0" xfId="0"/>
    <xf numFmtId="0" fontId="0" fillId="0" borderId="1" applyAlignment="1" pivotButton="0" quotePrefix="0" xfId="0">
      <alignment vertical="top" wrapText="1"/>
    </xf>
    <xf numFmtId="0" fontId="13" fillId="5" borderId="0" applyAlignment="1" pivotButton="0" quotePrefix="0" xfId="0">
      <alignment vertical="center"/>
    </xf>
    <xf numFmtId="0" fontId="14" fillId="5" borderId="0" pivotButton="0" quotePrefix="0" xfId="0"/>
    <xf numFmtId="0" fontId="15" fillId="0" borderId="0" pivotButton="0" quotePrefix="0" xfId="0"/>
    <xf numFmtId="0" fontId="16" fillId="6" borderId="0" applyAlignment="1" pivotButton="0" quotePrefix="0" xfId="0">
      <alignment horizontal="center"/>
    </xf>
    <xf numFmtId="0" fontId="15" fillId="6" borderId="0" applyAlignment="1" pivotButton="0" quotePrefix="0" xfId="0">
      <alignment horizontal="center"/>
    </xf>
    <xf numFmtId="3" fontId="17" fillId="7" borderId="0" applyAlignment="1" pivotButton="0" quotePrefix="0" xfId="0">
      <alignment horizontal="center"/>
    </xf>
    <xf numFmtId="164" fontId="17" fillId="7" borderId="0" applyAlignment="1" pivotButton="0" quotePrefix="0" xfId="0">
      <alignment horizontal="center"/>
    </xf>
    <xf numFmtId="0" fontId="18" fillId="5" borderId="0" pivotButton="0" quotePrefix="0" xfId="0"/>
    <xf numFmtId="0" fontId="19" fillId="6" borderId="0" pivotButton="0" quotePrefix="0" xfId="0"/>
    <xf numFmtId="0" fontId="22" fillId="7" borderId="0" pivotButton="0" quotePrefix="0" xfId="0"/>
    <xf numFmtId="0" fontId="3" fillId="0" borderId="0" pivotButton="0" quotePrefix="0" xfId="0"/>
    <xf numFmtId="3" fontId="20" fillId="0" borderId="0" pivotButton="0" quotePrefix="0" xfId="0"/>
    <xf numFmtId="164" fontId="21" fillId="0" borderId="0" pivotButton="0" quotePrefix="0" xfId="0"/>
    <xf numFmtId="164" fontId="20" fillId="0" borderId="0" pivotButton="0" quotePrefix="0" xfId="0"/>
    <xf numFmtId="0" fontId="23" fillId="0" borderId="0" applyAlignment="1" pivotButton="0" quotePrefix="0" xfId="0">
      <alignment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&amp; Profit Trend</a:t>
            </a:r>
          </a:p>
        </rich>
      </tx>
    </title>
    <plotArea>
      <lineChart>
        <grouping val="standard"/>
        <ser>
          <idx val="0"/>
          <order val="0"/>
          <tx>
            <strRef>
              <f>'P&amp;L'!B1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'P&amp;L'!$A$2:$A$4</f>
            </numRef>
          </cat>
          <val>
            <numRef>
              <f>'P&amp;L'!$B$2:$B$4</f>
            </numRef>
          </val>
        </ser>
        <ser>
          <idx val="1"/>
          <order val="1"/>
          <tx>
            <strRef>
              <f>'P&amp;L'!C1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'P&amp;L'!$A$2:$A$4</f>
            </numRef>
          </cat>
          <val>
            <numRef>
              <f>'P&amp;L'!$C$2:$C$4</f>
            </numRef>
          </val>
        </ser>
        <ser>
          <idx val="2"/>
          <order val="2"/>
          <tx>
            <strRef>
              <f>'P&amp;L'!D1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'P&amp;L'!$A$2:$A$4</f>
            </numRef>
          </cat>
          <val>
            <numRef>
              <f>'P&amp;L'!$D$2:$D$4</f>
            </numRef>
          </val>
        </ser>
        <ser>
          <idx val="3"/>
          <order val="3"/>
          <tx>
            <strRef>
              <f>'P&amp;L'!E1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'P&amp;L'!$A$2:$A$4</f>
            </numRef>
          </cat>
          <val>
            <numRef>
              <f>'P&amp;L'!$E$2:$E$4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 millions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Product Revenue Mix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 Revenue'!B1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 Revenue'!$A$2:$A$4</f>
            </numRef>
          </cat>
          <val>
            <numRef>
              <f>'Product Revenue'!$B$2:$B$4</f>
            </numRef>
          </val>
        </ser>
        <ser>
          <idx val="1"/>
          <order val="1"/>
          <tx>
            <strRef>
              <f>'Product Revenue'!C1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 Revenue'!$A$2:$A$4</f>
            </numRef>
          </cat>
          <val>
            <numRef>
              <f>'Product Revenue'!$C$2:$C$4</f>
            </numRef>
          </val>
        </ser>
        <ser>
          <idx val="2"/>
          <order val="2"/>
          <tx>
            <strRef>
              <f>'Product Revenue'!D1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 Revenue'!$A$2:$A$4</f>
            </numRef>
          </cat>
          <val>
            <numRef>
              <f>'Product Revenue'!$D$2:$D$4</f>
            </numRef>
          </val>
        </ser>
        <ser>
          <idx val="3"/>
          <order val="3"/>
          <tx>
            <strRef>
              <f>'Product Revenue'!E1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 Revenue'!$A$2:$A$4</f>
            </numRef>
          </cat>
          <val>
            <numRef>
              <f>'Product Revenue'!$E$2:$E$4</f>
            </numRef>
          </val>
        </ser>
        <ser>
          <idx val="4"/>
          <order val="4"/>
          <tx>
            <strRef>
              <f>'Product Revenue'!F1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 Revenue'!$A$2:$A$4</f>
            </numRef>
          </cat>
          <val>
            <numRef>
              <f>'Product Revenue'!$F$2:$F$4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 millions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Margin Profile</a:t>
            </a:r>
          </a:p>
        </rich>
      </tx>
    </title>
    <plotArea>
      <lineChart>
        <grouping val="standard"/>
        <ser>
          <idx val="0"/>
          <order val="0"/>
          <tx>
            <strRef>
              <f>'KPI Summary'!F1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'KPI Summary'!$A$2:$A$4</f>
            </numRef>
          </cat>
          <val>
            <numRef>
              <f>'KPI Summary'!$F$2:$F$4</f>
            </numRef>
          </val>
        </ser>
        <ser>
          <idx val="1"/>
          <order val="1"/>
          <tx>
            <strRef>
              <f>'KPI Summary'!G1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'KPI Summary'!$A$2:$A$4</f>
            </numRef>
          </cat>
          <val>
            <numRef>
              <f>'KPI Summary'!$G$2:$G$4</f>
            </numRef>
          </val>
        </ser>
        <ser>
          <idx val="2"/>
          <order val="2"/>
          <tx>
            <strRef>
              <f>'KPI Summary'!H1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'KPI Summary'!$A$2:$A$4</f>
            </numRef>
          </cat>
          <val>
            <numRef>
              <f>'KPI Summary'!$H$2:$H$4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Margin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Geographic Revenue</a:t>
            </a:r>
          </a:p>
        </rich>
      </tx>
    </title>
    <plotArea>
      <lineChart>
        <grouping val="standard"/>
        <ser>
          <idx val="0"/>
          <order val="0"/>
          <tx>
            <strRef>
              <f>'Geography Revenue'!B1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'Geography Revenue'!$A$2:$A$4</f>
            </numRef>
          </cat>
          <val>
            <numRef>
              <f>'Geography Revenue'!$B$2:$B$4</f>
            </numRef>
          </val>
        </ser>
        <ser>
          <idx val="1"/>
          <order val="1"/>
          <tx>
            <strRef>
              <f>'Geography Revenue'!C1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'Geography Revenue'!$A$2:$A$4</f>
            </numRef>
          </cat>
          <val>
            <numRef>
              <f>'Geography Revenue'!$C$2:$C$4</f>
            </numRef>
          </val>
        </ser>
        <ser>
          <idx val="2"/>
          <order val="2"/>
          <tx>
            <strRef>
              <f>'Geography Revenue'!D1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'Geography Revenue'!$A$2:$A$4</f>
            </numRef>
          </cat>
          <val>
            <numRef>
              <f>'Geography Revenue'!$D$2:$D$4</f>
            </numRef>
          </val>
        </ser>
        <ser>
          <idx val="3"/>
          <order val="3"/>
          <tx>
            <strRef>
              <f>'Geography Revenue'!E1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'Geography Revenue'!$A$2:$A$4</f>
            </numRef>
          </cat>
          <val>
            <numRef>
              <f>'Geography Revenue'!$E$2:$E$4</f>
            </numRef>
          </val>
        </ser>
        <ser>
          <idx val="4"/>
          <order val="4"/>
          <tx>
            <strRef>
              <f>'Geography Revenue'!F1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'Geography Revenue'!$A$2:$A$4</f>
            </numRef>
          </cat>
          <val>
            <numRef>
              <f>'Geography Revenue'!$F$2:$F$4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 millions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Net Income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Center'!H13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'Control Center'!$G$14:$G$16</f>
            </numRef>
          </cat>
          <val>
            <numRef>
              <f>'Control Center'!$H$14:$H$16</f>
            </numRef>
          </val>
        </ser>
        <ser>
          <idx val="1"/>
          <order val="1"/>
          <tx>
            <strRef>
              <f>'Control Center'!I13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'Control Center'!$G$14:$G$16</f>
            </numRef>
          </cat>
          <val>
            <numRef>
              <f>'Control Center'!$I$14:$I$16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 millions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Revenue, Operating Income &amp; Net Income</a:t>
            </a:r>
          </a:p>
        </rich>
      </tx>
    </title>
    <plotArea>
      <lineChart>
        <grouping val="standard"/>
        <ser>
          <idx val="0"/>
          <order val="0"/>
          <tx>
            <strRef>
              <f>'P&amp;L'!B1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'P&amp;L'!$A$2:$A$4</f>
            </numRef>
          </cat>
          <val>
            <numRef>
              <f>'P&amp;L'!$B$2:$B$4</f>
            </numRef>
          </val>
        </ser>
        <ser>
          <idx val="1"/>
          <order val="1"/>
          <tx>
            <strRef>
              <f>'P&amp;L'!C1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'P&amp;L'!$A$2:$A$4</f>
            </numRef>
          </cat>
          <val>
            <numRef>
              <f>'P&amp;L'!$C$2:$C$4</f>
            </numRef>
          </val>
        </ser>
        <ser>
          <idx val="2"/>
          <order val="2"/>
          <tx>
            <strRef>
              <f>'P&amp;L'!D1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'P&amp;L'!$A$2:$A$4</f>
            </numRef>
          </cat>
          <val>
            <numRef>
              <f>'P&amp;L'!$D$2:$D$4</f>
            </numRef>
          </val>
        </ser>
        <ser>
          <idx val="3"/>
          <order val="3"/>
          <tx>
            <strRef>
              <f>'P&amp;L'!E1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'P&amp;L'!$A$2:$A$4</f>
            </numRef>
          </cat>
          <val>
            <numRef>
              <f>'P&amp;L'!$E$2:$E$4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 millions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Product Revenue by Fiscal Year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 Revenue'!B1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 Revenue'!$A$2:$A$4</f>
            </numRef>
          </cat>
          <val>
            <numRef>
              <f>'Product Revenue'!$B$2:$B$4</f>
            </numRef>
          </val>
        </ser>
        <ser>
          <idx val="1"/>
          <order val="1"/>
          <tx>
            <strRef>
              <f>'Product Revenue'!C1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 Revenue'!$A$2:$A$4</f>
            </numRef>
          </cat>
          <val>
            <numRef>
              <f>'Product Revenue'!$C$2:$C$4</f>
            </numRef>
          </val>
        </ser>
        <ser>
          <idx val="2"/>
          <order val="2"/>
          <tx>
            <strRef>
              <f>'Product Revenue'!D1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 Revenue'!$A$2:$A$4</f>
            </numRef>
          </cat>
          <val>
            <numRef>
              <f>'Product Revenue'!$D$2:$D$4</f>
            </numRef>
          </val>
        </ser>
        <ser>
          <idx val="3"/>
          <order val="3"/>
          <tx>
            <strRef>
              <f>'Product Revenue'!E1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 Revenue'!$A$2:$A$4</f>
            </numRef>
          </cat>
          <val>
            <numRef>
              <f>'Product Revenue'!$E$2:$E$4</f>
            </numRef>
          </val>
        </ser>
        <ser>
          <idx val="4"/>
          <order val="4"/>
          <tx>
            <strRef>
              <f>'Product Revenue'!F1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 Revenue'!$A$2:$A$4</f>
            </numRef>
          </cat>
          <val>
            <numRef>
              <f>'Product Revenue'!$F$2:$F$4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 millions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Margin Profile</a:t>
            </a:r>
          </a:p>
        </rich>
      </tx>
    </title>
    <plotArea>
      <lineChart>
        <grouping val="standard"/>
        <ser>
          <idx val="0"/>
          <order val="0"/>
          <tx>
            <strRef>
              <f>'KPI Summary'!F1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'KPI Summary'!$A$2:$A$4</f>
            </numRef>
          </cat>
          <val>
            <numRef>
              <f>'KPI Summary'!$F$2:$F$4</f>
            </numRef>
          </val>
        </ser>
        <ser>
          <idx val="1"/>
          <order val="1"/>
          <tx>
            <strRef>
              <f>'KPI Summary'!G1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'KPI Summary'!$A$2:$A$4</f>
            </numRef>
          </cat>
          <val>
            <numRef>
              <f>'KPI Summary'!$G$2:$G$4</f>
            </numRef>
          </val>
        </ser>
        <ser>
          <idx val="2"/>
          <order val="2"/>
          <tx>
            <strRef>
              <f>'KPI Summary'!H1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'KPI Summary'!$A$2:$A$4</f>
            </numRef>
          </cat>
          <val>
            <numRef>
              <f>'KPI Summary'!$H$2:$H$4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Margin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Geographic Revenue</a:t>
            </a:r>
          </a:p>
        </rich>
      </tx>
    </title>
    <plotArea>
      <lineChart>
        <grouping val="standard"/>
        <ser>
          <idx val="0"/>
          <order val="0"/>
          <tx>
            <strRef>
              <f>'Geography Revenue'!B1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'Geography Revenue'!$A$2:$A$4</f>
            </numRef>
          </cat>
          <val>
            <numRef>
              <f>'Geography Revenue'!$B$2:$B$4</f>
            </numRef>
          </val>
        </ser>
        <ser>
          <idx val="1"/>
          <order val="1"/>
          <tx>
            <strRef>
              <f>'Geography Revenue'!C1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'Geography Revenue'!$A$2:$A$4</f>
            </numRef>
          </cat>
          <val>
            <numRef>
              <f>'Geography Revenue'!$C$2:$C$4</f>
            </numRef>
          </val>
        </ser>
        <ser>
          <idx val="2"/>
          <order val="2"/>
          <tx>
            <strRef>
              <f>'Geography Revenue'!D1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'Geography Revenue'!$A$2:$A$4</f>
            </numRef>
          </cat>
          <val>
            <numRef>
              <f>'Geography Revenue'!$D$2:$D$4</f>
            </numRef>
          </val>
        </ser>
        <ser>
          <idx val="3"/>
          <order val="3"/>
          <tx>
            <strRef>
              <f>'Geography Revenue'!E1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'Geography Revenue'!$A$2:$A$4</f>
            </numRef>
          </cat>
          <val>
            <numRef>
              <f>'Geography Revenue'!$E$2:$E$4</f>
            </numRef>
          </val>
        </ser>
        <ser>
          <idx val="4"/>
          <order val="4"/>
          <tx>
            <strRef>
              <f>'Geography Revenue'!F1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'Geography Revenue'!$A$2:$A$4</f>
            </numRef>
          </cat>
          <val>
            <numRef>
              <f>'Geography Revenue'!$F$2:$F$4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 millions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Relationship Type="http://schemas.openxmlformats.org/officeDocument/2006/relationships/chart" Target="/xl/charts/chart8.xml" Id="rId3"/><Relationship Type="http://schemas.openxmlformats.org/officeDocument/2006/relationships/chart" Target="/xl/charts/chart9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18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18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35</row>
      <rowOff>0</rowOff>
    </from>
    <ext cx="504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35</row>
      <rowOff>0</rowOff>
    </from>
    <ext cx="504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17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6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6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22</row>
      <rowOff>0</rowOff>
    </from>
    <ext cx="540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0</colOff>
      <row>22</row>
      <rowOff>0</rowOff>
    </from>
    <ext cx="540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PL" displayName="tblPL" ref="A1:G4" headerRowCount="1">
  <autoFilter ref="A1:G4"/>
  <tableColumns count="7">
    <tableColumn id="1" name="Year"/>
    <tableColumn id="2" name="Revenue"/>
    <tableColumn id="3" name="Gross Profit"/>
    <tableColumn id="4" name="Operating Income"/>
    <tableColumn id="5" name="Net Income"/>
    <tableColumn id="6" name="R&amp;D"/>
    <tableColumn id="7" name="SG&amp;A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ProductRevenue" displayName="tblProductRevenue" ref="A1:F4" headerRowCount="1">
  <autoFilter ref="A1:F4"/>
  <tableColumns count="6">
    <tableColumn id="1" name="Year"/>
    <tableColumn id="2" name="iPhone"/>
    <tableColumn id="3" name="Mac"/>
    <tableColumn id="4" name="iPad"/>
    <tableColumn id="5" name="Wearables, Home &amp; Accessories"/>
    <tableColumn id="6" name="Service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blGeographyRevenue" displayName="tblGeographyRevenue" ref="A1:F4" headerRowCount="1">
  <autoFilter ref="A1:F4"/>
  <tableColumns count="6">
    <tableColumn id="1" name="Year"/>
    <tableColumn id="2" name="Americas"/>
    <tableColumn id="3" name="Europe"/>
    <tableColumn id="4" name="Greater China"/>
    <tableColumn id="5" name="Japan"/>
    <tableColumn id="6" name="Rest of Asia Pacific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blKPISummary" displayName="tblKPISummary" ref="A1:J4" headerRowCount="1">
  <autoFilter ref="A1:J4"/>
  <tableColumns count="10">
    <tableColumn id="1" name="Year"/>
    <tableColumn id="2" name="Revenue"/>
    <tableColumn id="3" name="Gross Profit"/>
    <tableColumn id="4" name="Operating Income"/>
    <tableColumn id="5" name="Net Income"/>
    <tableColumn id="6" name="Gross Margin"/>
    <tableColumn id="7" name="Operating Margin"/>
    <tableColumn id="8" name="Net Margin"/>
    <tableColumn id="9" name="Revenue YoY"/>
    <tableColumn id="10" name="Net Income YoY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blPivotDetail" displayName="tblPivotDetail" ref="A1:D49" headerRowCount="1">
  <autoFilter ref="A1:D49"/>
  <tableColumns count="4">
    <tableColumn id="1" name="Year"/>
    <tableColumn id="2" name="Dimension"/>
    <tableColumn id="3" name="Category"/>
    <tableColumn id="4" name="Value (USD millions)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32" customHeight="1">
      <c r="A1" s="31" t="inlineStr">
        <is>
          <t>APPLE FINANCIAL INTELLIGENCE</t>
        </is>
      </c>
    </row>
    <row r="2" ht="25" customHeight="1">
      <c r="A2" s="32" t="inlineStr">
        <is>
          <t>FY2023–FY2025  •  Growth  •  Profitability  •  Product Mix  •  Geography</t>
        </is>
      </c>
    </row>
    <row r="4">
      <c r="A4" s="33" t="inlineStr">
        <is>
          <t>VIEW YEAR</t>
        </is>
      </c>
      <c r="B4" s="34" t="n">
        <v>2025</v>
      </c>
      <c r="D4" s="33" t="inlineStr">
        <is>
          <t>COMPARE YEAR</t>
        </is>
      </c>
      <c r="E4" s="34" t="n">
        <v>2024</v>
      </c>
    </row>
    <row r="6">
      <c r="A6" s="35" t="inlineStr">
        <is>
          <t>REVENUE</t>
        </is>
      </c>
      <c r="C6" s="35" t="inlineStr">
        <is>
          <t>GROSS PROFIT</t>
        </is>
      </c>
      <c r="E6" s="35" t="inlineStr">
        <is>
          <t>OPERATING INCOME</t>
        </is>
      </c>
      <c r="G6" s="35" t="inlineStr">
        <is>
          <t>NET INCOME</t>
        </is>
      </c>
      <c r="I6" s="35" t="inlineStr">
        <is>
          <t>GROSS MARGIN</t>
        </is>
      </c>
      <c r="K6" s="35" t="inlineStr">
        <is>
          <t>NET MARGIN</t>
        </is>
      </c>
    </row>
    <row r="7">
      <c r="A7" s="36">
        <f>INDEX('KPI Summary'!$B$2:$B$4,MATCH($B$4,'KPI Summary'!$A$2:$A$4,0))</f>
        <v/>
      </c>
      <c r="C7" s="36">
        <f>INDEX('KPI Summary'!$C$2:$C$4,MATCH($B$4,'KPI Summary'!$A$2:$A$4,0))</f>
        <v/>
      </c>
      <c r="E7" s="36">
        <f>INDEX('KPI Summary'!$D$2:$D$4,MATCH($B$4,'KPI Summary'!$A$2:$A$4,0))</f>
        <v/>
      </c>
      <c r="G7" s="36">
        <f>INDEX('KPI Summary'!$E$2:$E$4,MATCH($B$4,'KPI Summary'!$A$2:$A$4,0))</f>
        <v/>
      </c>
      <c r="I7" s="37">
        <f>INDEX('KPI Summary'!$F$2:$F$4,MATCH($B$4,'KPI Summary'!$A$2:$A$4,0))</f>
        <v/>
      </c>
      <c r="K7" s="37">
        <f>INDEX('KPI Summary'!$H$2:$H$4,MATCH($B$4,'KPI Summary'!$A$2:$A$4,0))</f>
        <v/>
      </c>
    </row>
    <row r="10">
      <c r="A10" s="38" t="inlineStr">
        <is>
          <t>SELECTED YEAR VS COMPARISON</t>
        </is>
      </c>
      <c r="G10" s="38" t="inlineStr">
        <is>
          <t>EXECUTIVE TAKEAWAYS</t>
        </is>
      </c>
    </row>
    <row r="11">
      <c r="A11" s="39" t="inlineStr">
        <is>
          <t>Metric</t>
        </is>
      </c>
      <c r="B11" s="39" t="inlineStr">
        <is>
          <t>Selected</t>
        </is>
      </c>
      <c r="C11" s="39" t="inlineStr">
        <is>
          <t>Comparison</t>
        </is>
      </c>
      <c r="D11" s="39" t="inlineStr">
        <is>
          <t>Δ</t>
        </is>
      </c>
      <c r="E11" s="39" t="inlineStr">
        <is>
          <t>Δ %</t>
        </is>
      </c>
      <c r="G11" s="40" t="inlineStr">
        <is>
          <t>• Topline: FY2025 revenue reached approximately $416.2B.</t>
        </is>
      </c>
    </row>
    <row r="12">
      <c r="A12" s="41" t="inlineStr">
        <is>
          <t>Revenue</t>
        </is>
      </c>
      <c r="B12" s="42">
        <f>INDEX('KPI Summary'!$B$2:$B$4,MATCH($B$4,'KPI Summary'!$A$2:$A$4,0))</f>
        <v/>
      </c>
      <c r="C12" s="42">
        <f>INDEX('KPI Summary'!$B$2:$B$4,MATCH($E$4,'KPI Summary'!$A$2:$A$4,0))</f>
        <v/>
      </c>
      <c r="D12" s="42">
        <f>B12-C12</f>
        <v/>
      </c>
      <c r="E12" s="43">
        <f>IFERROR(B12/C12-1,"")</f>
        <v/>
      </c>
      <c r="G12" s="40" t="inlineStr">
        <is>
          <t>• Profitability: net income rebounded materially in FY2025.</t>
        </is>
      </c>
    </row>
    <row r="13">
      <c r="A13" s="41" t="inlineStr">
        <is>
          <t>Gross Profit</t>
        </is>
      </c>
      <c r="B13" s="42">
        <f>INDEX('KPI Summary'!$C$2:$C$4,MATCH($B$4,'KPI Summary'!$A$2:$A$4,0))</f>
        <v/>
      </c>
      <c r="C13" s="42">
        <f>INDEX('KPI Summary'!$C$2:$C$4,MATCH($E$4,'KPI Summary'!$A$2:$A$4,0))</f>
        <v/>
      </c>
      <c r="D13" s="42">
        <f>B13-C13</f>
        <v/>
      </c>
      <c r="E13" s="43">
        <f>IFERROR(B13/C13-1,"")</f>
        <v/>
      </c>
      <c r="G13" s="40" t="inlineStr">
        <is>
          <t>• Mix: Services continued expanding while iPhone remained the largest category.</t>
        </is>
      </c>
    </row>
    <row r="14">
      <c r="A14" s="41" t="inlineStr">
        <is>
          <t>Operating Income</t>
        </is>
      </c>
      <c r="B14" s="42">
        <f>INDEX('KPI Summary'!$D$2:$D$4,MATCH($B$4,'KPI Summary'!$A$2:$A$4,0))</f>
        <v/>
      </c>
      <c r="C14" s="42">
        <f>INDEX('KPI Summary'!$D$2:$D$4,MATCH($E$4,'KPI Summary'!$A$2:$A$4,0))</f>
        <v/>
      </c>
      <c r="D14" s="42">
        <f>B14-C14</f>
        <v/>
      </c>
      <c r="E14" s="43">
        <f>IFERROR(B14/C14-1,"")</f>
        <v/>
      </c>
      <c r="G14" s="40" t="inlineStr">
        <is>
          <t>• Geography: Europe and the Americas grew across the three-year window.</t>
        </is>
      </c>
    </row>
    <row r="15">
      <c r="A15" s="41" t="inlineStr">
        <is>
          <t>Net Income</t>
        </is>
      </c>
      <c r="B15" s="42">
        <f>INDEX('KPI Summary'!$E$2:$E$4,MATCH($B$4,'KPI Summary'!$A$2:$A$4,0))</f>
        <v/>
      </c>
      <c r="C15" s="42">
        <f>INDEX('KPI Summary'!$E$2:$E$4,MATCH($E$4,'KPI Summary'!$A$2:$A$4,0))</f>
        <v/>
      </c>
      <c r="D15" s="42">
        <f>B15-C15</f>
        <v/>
      </c>
      <c r="E15" s="43">
        <f>IFERROR(B15/C15-1,"")</f>
        <v/>
      </c>
      <c r="G15" s="40" t="inlineStr">
        <is>
          <t>• Exception: Greater China revenue declined over the period.</t>
        </is>
      </c>
    </row>
    <row r="16">
      <c r="A16" s="41" t="inlineStr">
        <is>
          <t>Net Margin</t>
        </is>
      </c>
      <c r="B16" s="44">
        <f>INDEX('KPI Summary'!$H$2:$H$4,MATCH($B$4,'KPI Summary'!$A$2:$A$4,0))</f>
        <v/>
      </c>
      <c r="C16" s="44">
        <f>INDEX('KPI Summary'!$H$2:$H$4,MATCH($E$4,'KPI Summary'!$A$2:$A$4,0))</f>
        <v/>
      </c>
      <c r="D16" s="44">
        <f>B16-C16</f>
        <v/>
      </c>
      <c r="E16" s="43">
        <f>IFERROR(B16/C16-1,"")</f>
        <v/>
      </c>
    </row>
    <row r="53">
      <c r="A53" s="45" t="inlineStr">
        <is>
          <t>SOURCE &amp; SCOPE  •  Apple FY2025 Form 10-K / SEC  •  FY2023–FY2025  •  USD millions  •  Margins and YoY metrics are calculated  •  No forecasts</t>
        </is>
      </c>
    </row>
    <row r="55">
      <c r="A55" s="25">
        <f>HYPERLINK("#'P&amp;L'!A1","Data &amp; Tables")</f>
        <v/>
      </c>
      <c r="D55" s="25">
        <f>HYPERLINK("#'Product Revenue'!A1","Product Data")</f>
        <v/>
      </c>
      <c r="G55" s="25">
        <f>HYPERLINK("#'Geography Revenue'!A1","Geography")</f>
        <v/>
      </c>
      <c r="J55" s="25">
        <f>HYPERLINK("#'KPI Summary'!A1","KPI Data")</f>
        <v/>
      </c>
      <c r="M55" s="25">
        <f>HYPERLINK("#'References'!A1","Sources &amp; Citations")</f>
        <v/>
      </c>
    </row>
  </sheetData>
  <mergeCells count="22">
    <mergeCell ref="G12:N12"/>
    <mergeCell ref="C6:D6"/>
    <mergeCell ref="I6:J6"/>
    <mergeCell ref="G11:N11"/>
    <mergeCell ref="A6:B6"/>
    <mergeCell ref="A1:N1"/>
    <mergeCell ref="A7:B7"/>
    <mergeCell ref="G7:H7"/>
    <mergeCell ref="I7:J7"/>
    <mergeCell ref="G10:N10"/>
    <mergeCell ref="G6:H6"/>
    <mergeCell ref="G13:N13"/>
    <mergeCell ref="E6:F6"/>
    <mergeCell ref="A10:F10"/>
    <mergeCell ref="G15:N15"/>
    <mergeCell ref="A2:N2"/>
    <mergeCell ref="G14:N14"/>
    <mergeCell ref="K7:L7"/>
    <mergeCell ref="C7:D7"/>
    <mergeCell ref="A53:N53"/>
    <mergeCell ref="E7:F7"/>
    <mergeCell ref="K6:L6"/>
  </mergeCells>
  <conditionalFormatting sqref="E12:E16">
    <cfRule type="colorScale" priority="1">
      <colorScale>
        <cfvo type="min"/>
        <cfvo type="percentile" val="50"/>
        <cfvo type="max"/>
        <color rgb="00EF7186"/>
        <color rgb="00F0BD65"/>
        <color rgb="0055D18B"/>
      </colorScale>
    </cfRule>
  </conditionalFormatting>
  <dataValidations count="1">
    <dataValidation sqref="B4 E4" showDropDown="0" showInputMessage="0" showErrorMessage="0" allowBlank="0" type="list">
      <formula1>"2023,2024,2025"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0" workbookViewId="0">
      <selection activeCell="A1" sqref="A1"/>
    </sheetView>
  </sheetViews>
  <sheetFormatPr baseColWidth="8" defaultRowHeight="15"/>
  <sheetData>
    <row r="1">
      <c r="A1" s="12" t="inlineStr">
        <is>
          <t>APPLE FINANCIAL INTELLIGENCE — CONTROL CENTER</t>
        </is>
      </c>
    </row>
    <row r="2"/>
    <row r="4">
      <c r="A4" s="13" t="inlineStr">
        <is>
          <t>Interactive controls</t>
        </is>
      </c>
    </row>
    <row r="5">
      <c r="A5" s="14" t="inlineStr">
        <is>
          <t>Selected fiscal year</t>
        </is>
      </c>
      <c r="B5" s="15" t="n">
        <v>2025</v>
      </c>
    </row>
    <row r="6">
      <c r="A6" s="14" t="inlineStr">
        <is>
          <t>Comparison year</t>
        </is>
      </c>
      <c r="B6" s="15" t="n">
        <v>2024</v>
      </c>
    </row>
    <row r="8">
      <c r="A8" s="16" t="inlineStr">
        <is>
          <t>Revenue</t>
        </is>
      </c>
      <c r="C8" s="16" t="inlineStr">
        <is>
          <t>Gross Profit</t>
        </is>
      </c>
      <c r="E8" s="16" t="inlineStr">
        <is>
          <t>Operating Income</t>
        </is>
      </c>
      <c r="G8" s="16" t="inlineStr">
        <is>
          <t>Net Income</t>
        </is>
      </c>
      <c r="I8" s="16" t="inlineStr">
        <is>
          <t>Gross Margin</t>
        </is>
      </c>
      <c r="K8" s="16" t="inlineStr">
        <is>
          <t>Net Margin</t>
        </is>
      </c>
    </row>
    <row r="9">
      <c r="A9" s="17">
        <f>INDEX('KPI Summary'!$B$2:$B$4,MATCH($B$5,'KPI Summary'!$A$2:$A$4,0))</f>
        <v/>
      </c>
      <c r="C9" s="17">
        <f>INDEX('KPI Summary'!$C$2:$C$4,MATCH($B$5,'KPI Summary'!$A$2:$A$4,0))</f>
        <v/>
      </c>
      <c r="E9" s="17">
        <f>INDEX('KPI Summary'!$D$2:$D$4,MATCH($B$5,'KPI Summary'!$A$2:$A$4,0))</f>
        <v/>
      </c>
      <c r="G9" s="17">
        <f>INDEX('KPI Summary'!$E$2:$E$4,MATCH($B$5,'KPI Summary'!$A$2:$A$4,0))</f>
        <v/>
      </c>
      <c r="I9" s="18">
        <f>INDEX('KPI Summary'!$F$2:$F$4,MATCH($B$5,'KPI Summary'!$A$2:$A$4,0))</f>
        <v/>
      </c>
      <c r="K9" s="18">
        <f>INDEX('KPI Summary'!$H$2:$H$4,MATCH($B$5,'KPI Summary'!$A$2:$A$4,0))</f>
        <v/>
      </c>
    </row>
    <row r="12">
      <c r="A12" s="13" t="inlineStr">
        <is>
          <t>Selected-year comparison</t>
        </is>
      </c>
      <c r="G12" s="13" t="inlineStr">
        <is>
          <t>Three-year trend</t>
        </is>
      </c>
    </row>
    <row r="13">
      <c r="A13" s="16" t="inlineStr">
        <is>
          <t>Metric</t>
        </is>
      </c>
      <c r="B13" s="16" t="inlineStr">
        <is>
          <t>Selected Year</t>
        </is>
      </c>
      <c r="C13" s="16" t="inlineStr">
        <is>
          <t>Comparison Year</t>
        </is>
      </c>
      <c r="D13" s="16" t="inlineStr">
        <is>
          <t>Change</t>
        </is>
      </c>
      <c r="E13" s="16" t="inlineStr">
        <is>
          <t>Change %</t>
        </is>
      </c>
      <c r="G13" s="16" t="inlineStr">
        <is>
          <t>Year</t>
        </is>
      </c>
      <c r="H13" s="16" t="inlineStr">
        <is>
          <t>Revenue</t>
        </is>
      </c>
      <c r="I13" s="16" t="inlineStr">
        <is>
          <t>Net Income</t>
        </is>
      </c>
      <c r="J13" s="16" t="inlineStr">
        <is>
          <t>Gross Margin</t>
        </is>
      </c>
      <c r="K13" s="16" t="inlineStr">
        <is>
          <t>Net Margin</t>
        </is>
      </c>
    </row>
    <row r="14">
      <c r="A14" t="inlineStr">
        <is>
          <t>Revenue</t>
        </is>
      </c>
      <c r="B14" s="19">
        <f>INDEX('KPI Summary'!$B$2:$B$4,MATCH($B$5,'KPI Summary'!$A$2:$A$4,0))</f>
        <v/>
      </c>
      <c r="C14" s="19">
        <f>INDEX('KPI Summary'!$B$2:$B$4,MATCH($B$6,'KPI Summary'!$A$2:$A$4,0))</f>
        <v/>
      </c>
      <c r="D14" s="19">
        <f>B14-C14</f>
        <v/>
      </c>
      <c r="E14" s="20">
        <f>IFERROR(B14/C14-1,"")</f>
        <v/>
      </c>
      <c r="G14" t="n">
        <v>2023</v>
      </c>
      <c r="H14" s="19">
        <f>INDEX('KPI Summary'!$B$2:$B$4,MATCH(G14,'KPI Summary'!$A$2:$A$4,0))</f>
        <v/>
      </c>
      <c r="I14" s="19">
        <f>INDEX('KPI Summary'!$E$2:$E$4,MATCH(G14,'KPI Summary'!$A$2:$A$4,0))</f>
        <v/>
      </c>
      <c r="J14" s="21">
        <f>INDEX('KPI Summary'!$F$2:$F$4,MATCH(G14,'KPI Summary'!$A$2:$A$4,0))</f>
        <v/>
      </c>
      <c r="K14" s="21">
        <f>INDEX('KPI Summary'!$H$2:$H$4,MATCH(G14,'KPI Summary'!$A$2:$A$4,0))</f>
        <v/>
      </c>
    </row>
    <row r="15">
      <c r="A15" t="inlineStr">
        <is>
          <t>Gross Profit</t>
        </is>
      </c>
      <c r="B15" s="19">
        <f>INDEX('KPI Summary'!$C$2:$C$4,MATCH($B$5,'KPI Summary'!$A$2:$A$4,0))</f>
        <v/>
      </c>
      <c r="C15" s="19">
        <f>INDEX('KPI Summary'!$C$2:$C$4,MATCH($B$6,'KPI Summary'!$A$2:$A$4,0))</f>
        <v/>
      </c>
      <c r="D15" s="19">
        <f>B15-C15</f>
        <v/>
      </c>
      <c r="E15" s="20">
        <f>IFERROR(B15/C15-1,"")</f>
        <v/>
      </c>
      <c r="G15" t="n">
        <v>2024</v>
      </c>
      <c r="H15" s="19">
        <f>INDEX('KPI Summary'!$B$2:$B$4,MATCH(G15,'KPI Summary'!$A$2:$A$4,0))</f>
        <v/>
      </c>
      <c r="I15" s="19">
        <f>INDEX('KPI Summary'!$E$2:$E$4,MATCH(G15,'KPI Summary'!$A$2:$A$4,0))</f>
        <v/>
      </c>
      <c r="J15" s="21">
        <f>INDEX('KPI Summary'!$F$2:$F$4,MATCH(G15,'KPI Summary'!$A$2:$A$4,0))</f>
        <v/>
      </c>
      <c r="K15" s="21">
        <f>INDEX('KPI Summary'!$H$2:$H$4,MATCH(G15,'KPI Summary'!$A$2:$A$4,0))</f>
        <v/>
      </c>
    </row>
    <row r="16">
      <c r="A16" t="inlineStr">
        <is>
          <t>Operating Income</t>
        </is>
      </c>
      <c r="B16" s="19">
        <f>INDEX('KPI Summary'!$D$2:$D$4,MATCH($B$5,'KPI Summary'!$A$2:$A$4,0))</f>
        <v/>
      </c>
      <c r="C16" s="19">
        <f>INDEX('KPI Summary'!$D$2:$D$4,MATCH($B$6,'KPI Summary'!$A$2:$A$4,0))</f>
        <v/>
      </c>
      <c r="D16" s="19">
        <f>B16-C16</f>
        <v/>
      </c>
      <c r="E16" s="20">
        <f>IFERROR(B16/C16-1,"")</f>
        <v/>
      </c>
      <c r="G16" t="n">
        <v>2025</v>
      </c>
      <c r="H16" s="19">
        <f>INDEX('KPI Summary'!$B$2:$B$4,MATCH(G16,'KPI Summary'!$A$2:$A$4,0))</f>
        <v/>
      </c>
      <c r="I16" s="19">
        <f>INDEX('KPI Summary'!$E$2:$E$4,MATCH(G16,'KPI Summary'!$A$2:$A$4,0))</f>
        <v/>
      </c>
      <c r="J16" s="21">
        <f>INDEX('KPI Summary'!$F$2:$F$4,MATCH(G16,'KPI Summary'!$A$2:$A$4,0))</f>
        <v/>
      </c>
      <c r="K16" s="21">
        <f>INDEX('KPI Summary'!$H$2:$H$4,MATCH(G16,'KPI Summary'!$A$2:$A$4,0))</f>
        <v/>
      </c>
    </row>
    <row r="17">
      <c r="A17" t="inlineStr">
        <is>
          <t>Net Income</t>
        </is>
      </c>
      <c r="B17" s="19">
        <f>INDEX('KPI Summary'!$E$2:$E$4,MATCH($B$5,'KPI Summary'!$A$2:$A$4,0))</f>
        <v/>
      </c>
      <c r="C17" s="19">
        <f>INDEX('KPI Summary'!$E$2:$E$4,MATCH($B$6,'KPI Summary'!$A$2:$A$4,0))</f>
        <v/>
      </c>
      <c r="D17" s="19">
        <f>B17-C17</f>
        <v/>
      </c>
      <c r="E17" s="20">
        <f>IFERROR(B17/C17-1,"")</f>
        <v/>
      </c>
    </row>
    <row r="18">
      <c r="A18" t="inlineStr">
        <is>
          <t>Gross Margin</t>
        </is>
      </c>
      <c r="B18" s="21">
        <f>INDEX('KPI Summary'!$F$2:$F$4,MATCH($B$5,'KPI Summary'!$A$2:$A$4,0))</f>
        <v/>
      </c>
      <c r="C18" s="21">
        <f>INDEX('KPI Summary'!$F$2:$F$4,MATCH($B$6,'KPI Summary'!$A$2:$A$4,0))</f>
        <v/>
      </c>
      <c r="D18" s="21">
        <f>B18-C18</f>
        <v/>
      </c>
      <c r="E18" s="20">
        <f>IFERROR(B18/C18-1,"")</f>
        <v/>
      </c>
    </row>
    <row r="19">
      <c r="A19" t="inlineStr">
        <is>
          <t>Net Margin</t>
        </is>
      </c>
      <c r="B19" s="21">
        <f>INDEX('KPI Summary'!$H$2:$H$4,MATCH($B$5,'KPI Summary'!$A$2:$A$4,0))</f>
        <v/>
      </c>
      <c r="C19" s="21">
        <f>INDEX('KPI Summary'!$H$2:$H$4,MATCH($B$6,'KPI Summary'!$A$2:$A$4,0))</f>
        <v/>
      </c>
      <c r="D19" s="21">
        <f>B19-C19</f>
        <v/>
      </c>
      <c r="E19" s="20">
        <f>IFERROR(B19/C19-1,"")</f>
        <v/>
      </c>
    </row>
  </sheetData>
  <mergeCells count="1">
    <mergeCell ref="A1:L2"/>
  </mergeCells>
  <conditionalFormatting sqref="E14:E19">
    <cfRule type="colorScale" priority="1">
      <colorScale>
        <cfvo type="min"/>
        <cfvo type="percentile" val="50"/>
        <cfvo type="max"/>
        <color rgb="00EF7186"/>
        <color rgb="00FFF4D6"/>
        <color rgb="0055D18B"/>
      </colorScale>
    </cfRule>
  </conditionalFormatting>
  <dataValidations count="1">
    <dataValidation sqref="B5 B6" showDropDown="0" showInputMessage="0" showErrorMessage="0" allowBlank="0" type="list">
      <formula1>"2023,2024,2025"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Apple Financial Intelligence — Excel Analysis Pack</t>
        </is>
      </c>
    </row>
    <row r="3">
      <c r="A3" s="2" t="inlineStr">
        <is>
          <t>Purpose</t>
        </is>
      </c>
      <c r="B3" s="3" t="inlineStr">
        <is>
          <t>Excel companion to the interactive dashboard. Includes reviewed financial data, KPI calculations, analytical tables, and native Excel charts.</t>
        </is>
      </c>
    </row>
    <row r="4">
      <c r="A4" s="2" t="inlineStr">
        <is>
          <t>Source</t>
        </is>
      </c>
      <c r="B4" s="3" t="inlineStr">
        <is>
          <t>Apple Inc. FY2025 Form 10-K, U.S. SEC</t>
        </is>
      </c>
    </row>
    <row r="5">
      <c r="A5" s="2" t="inlineStr">
        <is>
          <t>Period</t>
        </is>
      </c>
      <c r="B5" s="3" t="inlineStr">
        <is>
          <t>FY2023–FY2025</t>
        </is>
      </c>
    </row>
    <row r="6">
      <c r="A6" s="2" t="inlineStr">
        <is>
          <t>Units</t>
        </is>
      </c>
      <c r="B6" s="3" t="inlineStr">
        <is>
          <t>USD millions unless otherwise stated</t>
        </is>
      </c>
    </row>
    <row r="7">
      <c r="A7" s="2" t="inlineStr">
        <is>
          <t>Cleaning status</t>
        </is>
      </c>
      <c r="B7" s="3" t="inlineStr">
        <is>
          <t>Reviewed dataset: no missing values or duplicate rows identified; numeric fields standardized.</t>
        </is>
      </c>
    </row>
    <row r="8">
      <c r="B8" s="3" t="n"/>
    </row>
    <row r="9">
      <c r="A9" s="2" t="inlineStr">
        <is>
          <t>Workflow followed</t>
        </is>
      </c>
      <c r="B9" s="3" t="inlineStr">
        <is>
          <t>Profile → clean/review → compare → break down → re-measure → exceptions → select visuals → dashboard</t>
        </is>
      </c>
    </row>
    <row r="10">
      <c r="A10" s="2" t="inlineStr">
        <is>
          <t>Dashboard visuals</t>
        </is>
      </c>
      <c r="B10" s="3" t="inlineStr">
        <is>
          <t>Revenue/profit trend; revenue composition; product trend; geographic trend; margin profile; operating-expense intensity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8" customWidth="1" min="4" max="4"/>
    <col width="12" customWidth="1" min="5" max="5"/>
    <col width="12" customWidth="1" min="6" max="6"/>
    <col width="12" customWidth="1" min="7" max="7"/>
  </cols>
  <sheetData>
    <row r="1">
      <c r="A1" s="4" t="inlineStr">
        <is>
          <t>Year</t>
        </is>
      </c>
      <c r="B1" s="4" t="inlineStr">
        <is>
          <t>Revenue</t>
        </is>
      </c>
      <c r="C1" s="4" t="inlineStr">
        <is>
          <t>Gross Profit</t>
        </is>
      </c>
      <c r="D1" s="4" t="inlineStr">
        <is>
          <t>Operating Income</t>
        </is>
      </c>
      <c r="E1" s="4" t="inlineStr">
        <is>
          <t>Net Income</t>
        </is>
      </c>
      <c r="F1" s="4" t="inlineStr">
        <is>
          <t>R&amp;D</t>
        </is>
      </c>
      <c r="G1" s="4" t="inlineStr">
        <is>
          <t>SG&amp;A</t>
        </is>
      </c>
    </row>
    <row r="2">
      <c r="A2" s="5" t="n">
        <v>2023</v>
      </c>
      <c r="B2" s="6" t="n">
        <v>383285</v>
      </c>
      <c r="C2" s="6" t="n">
        <v>169148</v>
      </c>
      <c r="D2" s="6" t="n">
        <v>114301</v>
      </c>
      <c r="E2" s="6" t="n">
        <v>96995</v>
      </c>
      <c r="F2" s="6" t="n">
        <v>29915</v>
      </c>
      <c r="G2" s="6" t="n">
        <v>24932</v>
      </c>
    </row>
    <row r="3">
      <c r="A3" s="5" t="n">
        <v>2024</v>
      </c>
      <c r="B3" s="6" t="n">
        <v>391035</v>
      </c>
      <c r="C3" s="6" t="n">
        <v>180683</v>
      </c>
      <c r="D3" s="6" t="n">
        <v>123216</v>
      </c>
      <c r="E3" s="6" t="n">
        <v>93736</v>
      </c>
      <c r="F3" s="6" t="n">
        <v>31370</v>
      </c>
      <c r="G3" s="6" t="n">
        <v>26097</v>
      </c>
    </row>
    <row r="4">
      <c r="A4" s="5" t="n">
        <v>2025</v>
      </c>
      <c r="B4" s="6" t="n">
        <v>416161</v>
      </c>
      <c r="C4" s="6" t="n">
        <v>195201</v>
      </c>
      <c r="D4" s="6" t="n">
        <v>133050</v>
      </c>
      <c r="E4" s="6" t="n">
        <v>112010</v>
      </c>
      <c r="F4" s="6" t="n">
        <v>34550</v>
      </c>
      <c r="G4" s="6" t="n">
        <v>27601</v>
      </c>
    </row>
  </sheetData>
  <autoFilter ref="A1:G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31" customWidth="1" min="5" max="5"/>
    <col width="12" customWidth="1" min="6" max="6"/>
  </cols>
  <sheetData>
    <row r="1">
      <c r="A1" s="4" t="inlineStr">
        <is>
          <t>Year</t>
        </is>
      </c>
      <c r="B1" s="4" t="inlineStr">
        <is>
          <t>iPhone</t>
        </is>
      </c>
      <c r="C1" s="4" t="inlineStr">
        <is>
          <t>Mac</t>
        </is>
      </c>
      <c r="D1" s="4" t="inlineStr">
        <is>
          <t>iPad</t>
        </is>
      </c>
      <c r="E1" s="4" t="inlineStr">
        <is>
          <t>Wearables, Home &amp; Accessories</t>
        </is>
      </c>
      <c r="F1" s="4" t="inlineStr">
        <is>
          <t>Services</t>
        </is>
      </c>
    </row>
    <row r="2">
      <c r="A2" s="5" t="n">
        <v>2023</v>
      </c>
      <c r="B2" s="6" t="n">
        <v>200583</v>
      </c>
      <c r="C2" s="6" t="n">
        <v>29357</v>
      </c>
      <c r="D2" s="6" t="n">
        <v>28300</v>
      </c>
      <c r="E2" s="6" t="n">
        <v>39845</v>
      </c>
      <c r="F2" s="6" t="n">
        <v>85200</v>
      </c>
    </row>
    <row r="3">
      <c r="A3" s="5" t="n">
        <v>2024</v>
      </c>
      <c r="B3" s="6" t="n">
        <v>201183</v>
      </c>
      <c r="C3" s="6" t="n">
        <v>29984</v>
      </c>
      <c r="D3" s="6" t="n">
        <v>26694</v>
      </c>
      <c r="E3" s="6" t="n">
        <v>37005</v>
      </c>
      <c r="F3" s="6" t="n">
        <v>96169</v>
      </c>
    </row>
    <row r="4">
      <c r="A4" s="5" t="n">
        <v>2025</v>
      </c>
      <c r="B4" s="6" t="n">
        <v>209586</v>
      </c>
      <c r="C4" s="6" t="n">
        <v>33708</v>
      </c>
      <c r="D4" s="6" t="n">
        <v>28023</v>
      </c>
      <c r="E4" s="6" t="n">
        <v>35686</v>
      </c>
      <c r="F4" s="6" t="n">
        <v>109158</v>
      </c>
    </row>
  </sheetData>
  <autoFilter ref="A1:F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22" customWidth="1" min="6" max="6"/>
  </cols>
  <sheetData>
    <row r="1">
      <c r="A1" s="4" t="inlineStr">
        <is>
          <t>Year</t>
        </is>
      </c>
      <c r="B1" s="4" t="inlineStr">
        <is>
          <t>Americas</t>
        </is>
      </c>
      <c r="C1" s="4" t="inlineStr">
        <is>
          <t>Europe</t>
        </is>
      </c>
      <c r="D1" s="4" t="inlineStr">
        <is>
          <t>Greater China</t>
        </is>
      </c>
      <c r="E1" s="4" t="inlineStr">
        <is>
          <t>Japan</t>
        </is>
      </c>
      <c r="F1" s="4" t="inlineStr">
        <is>
          <t>Rest of Asia Pacific</t>
        </is>
      </c>
    </row>
    <row r="2">
      <c r="A2" s="5" t="n">
        <v>2023</v>
      </c>
      <c r="B2" s="6" t="n">
        <v>162560</v>
      </c>
      <c r="C2" s="6" t="n">
        <v>94294</v>
      </c>
      <c r="D2" s="6" t="n">
        <v>72559</v>
      </c>
      <c r="E2" s="6" t="n">
        <v>24257</v>
      </c>
      <c r="F2" s="6" t="n">
        <v>29615</v>
      </c>
    </row>
    <row r="3">
      <c r="A3" s="5" t="n">
        <v>2024</v>
      </c>
      <c r="B3" s="6" t="n">
        <v>167045</v>
      </c>
      <c r="C3" s="6" t="n">
        <v>101328</v>
      </c>
      <c r="D3" s="6" t="n">
        <v>66952</v>
      </c>
      <c r="E3" s="6" t="n">
        <v>25052</v>
      </c>
      <c r="F3" s="6" t="n">
        <v>30658</v>
      </c>
    </row>
    <row r="4">
      <c r="A4" s="5" t="n">
        <v>2025</v>
      </c>
      <c r="B4" s="6" t="n">
        <v>178353</v>
      </c>
      <c r="C4" s="6" t="n">
        <v>111032</v>
      </c>
      <c r="D4" s="6" t="n">
        <v>64377</v>
      </c>
      <c r="E4" s="6" t="n">
        <v>28703</v>
      </c>
      <c r="F4" s="6" t="n">
        <v>33696</v>
      </c>
    </row>
  </sheetData>
  <autoFilter ref="A1:F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8" customWidth="1" min="4" max="4"/>
    <col width="12" customWidth="1" min="5" max="5"/>
    <col width="14" customWidth="1" min="6" max="6"/>
    <col width="18" customWidth="1" min="7" max="7"/>
    <col width="12" customWidth="1" min="8" max="8"/>
    <col width="13" customWidth="1" min="9" max="9"/>
    <col width="16" customWidth="1" min="10" max="10"/>
  </cols>
  <sheetData>
    <row r="1">
      <c r="A1" s="4" t="inlineStr">
        <is>
          <t>Year</t>
        </is>
      </c>
      <c r="B1" s="4" t="inlineStr">
        <is>
          <t>Revenue</t>
        </is>
      </c>
      <c r="C1" s="4" t="inlineStr">
        <is>
          <t>Gross Profit</t>
        </is>
      </c>
      <c r="D1" s="4" t="inlineStr">
        <is>
          <t>Operating Income</t>
        </is>
      </c>
      <c r="E1" s="4" t="inlineStr">
        <is>
          <t>Net Income</t>
        </is>
      </c>
      <c r="F1" s="4" t="inlineStr">
        <is>
          <t>Gross Margin</t>
        </is>
      </c>
      <c r="G1" s="4" t="inlineStr">
        <is>
          <t>Operating Margin</t>
        </is>
      </c>
      <c r="H1" s="4" t="inlineStr">
        <is>
          <t>Net Margin</t>
        </is>
      </c>
      <c r="I1" s="4" t="inlineStr">
        <is>
          <t>Revenue YoY</t>
        </is>
      </c>
      <c r="J1" s="4" t="inlineStr">
        <is>
          <t>Net Income YoY</t>
        </is>
      </c>
    </row>
    <row r="2">
      <c r="A2" s="5" t="n">
        <v>2023</v>
      </c>
      <c r="B2" s="6" t="n">
        <v>383285</v>
      </c>
      <c r="C2" s="6" t="n">
        <v>169148</v>
      </c>
      <c r="D2" s="6" t="n">
        <v>114301</v>
      </c>
      <c r="E2" s="6" t="n">
        <v>96995</v>
      </c>
      <c r="F2" s="7" t="n">
        <v>0.4413112957720756</v>
      </c>
      <c r="G2" s="7" t="n">
        <v>0.2982141226502472</v>
      </c>
      <c r="H2" s="7" t="n">
        <v>0.2530623426432028</v>
      </c>
      <c r="I2" s="7" t="n"/>
      <c r="J2" s="7" t="n"/>
    </row>
    <row r="3">
      <c r="A3" s="5" t="n">
        <v>2024</v>
      </c>
      <c r="B3" s="6" t="n">
        <v>391035</v>
      </c>
      <c r="C3" s="6" t="n">
        <v>180683</v>
      </c>
      <c r="D3" s="6" t="n">
        <v>123216</v>
      </c>
      <c r="E3" s="6" t="n">
        <v>93736</v>
      </c>
      <c r="F3" s="7" t="n">
        <v>0.4620634981523393</v>
      </c>
      <c r="G3" s="7" t="n">
        <v>0.3151022287007557</v>
      </c>
      <c r="H3" s="7" t="n">
        <v>0.2397125576994387</v>
      </c>
      <c r="I3" s="7" t="n">
        <v>0.02021994077514111</v>
      </c>
      <c r="J3" s="7" t="n">
        <v>-0.03359967008608689</v>
      </c>
    </row>
    <row r="4">
      <c r="A4" s="5" t="n">
        <v>2025</v>
      </c>
      <c r="B4" s="6" t="n">
        <v>416161</v>
      </c>
      <c r="C4" s="6" t="n">
        <v>195201</v>
      </c>
      <c r="D4" s="6" t="n">
        <v>133050</v>
      </c>
      <c r="E4" s="6" t="n">
        <v>112010</v>
      </c>
      <c r="F4" s="7" t="n">
        <v>0.4690516410716045</v>
      </c>
      <c r="G4" s="7" t="n">
        <v>0.3197079976259188</v>
      </c>
      <c r="H4" s="7" t="n">
        <v>0.2691506412181824</v>
      </c>
      <c r="I4" s="7" t="n">
        <v>0.06425511782832749</v>
      </c>
      <c r="J4" s="7" t="n">
        <v>0.1949517794657336</v>
      </c>
    </row>
  </sheetData>
  <autoFilter ref="A1:J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34" customWidth="1" min="5" max="5"/>
  </cols>
  <sheetData>
    <row r="1">
      <c r="A1" s="4" t="inlineStr">
        <is>
          <t>Year</t>
        </is>
      </c>
      <c r="B1" s="4" t="inlineStr">
        <is>
          <t>Dimension</t>
        </is>
      </c>
      <c r="C1" s="4" t="inlineStr">
        <is>
          <t>Category</t>
        </is>
      </c>
      <c r="D1" s="4" t="inlineStr">
        <is>
          <t>Value (USD millions)</t>
        </is>
      </c>
      <c r="E1" s="16" t="inlineStr">
        <is>
          <t>Source</t>
        </is>
      </c>
    </row>
    <row r="2">
      <c r="A2" s="5" t="n">
        <v>2023</v>
      </c>
      <c r="B2" s="6" t="inlineStr">
        <is>
          <t>P&amp;L</t>
        </is>
      </c>
      <c r="C2" s="6" t="inlineStr">
        <is>
          <t>Revenue</t>
        </is>
      </c>
      <c r="D2" s="6" t="n">
        <v>383285</v>
      </c>
      <c r="E2" s="46" t="inlineStr">
        <is>
          <t>Apple FY2025 Form 10-K / SEC</t>
        </is>
      </c>
    </row>
    <row r="3">
      <c r="A3" s="5" t="n">
        <v>2023</v>
      </c>
      <c r="B3" s="6" t="inlineStr">
        <is>
          <t>P&amp;L</t>
        </is>
      </c>
      <c r="C3" s="6" t="inlineStr">
        <is>
          <t>Gross Profit</t>
        </is>
      </c>
      <c r="D3" s="6" t="n">
        <v>169148</v>
      </c>
      <c r="E3" s="46" t="inlineStr">
        <is>
          <t>Apple FY2025 Form 10-K / SEC</t>
        </is>
      </c>
    </row>
    <row r="4">
      <c r="A4" s="5" t="n">
        <v>2023</v>
      </c>
      <c r="B4" s="6" t="inlineStr">
        <is>
          <t>P&amp;L</t>
        </is>
      </c>
      <c r="C4" s="6" t="inlineStr">
        <is>
          <t>Operating Income</t>
        </is>
      </c>
      <c r="D4" s="6" t="n">
        <v>114301</v>
      </c>
      <c r="E4" s="46" t="inlineStr">
        <is>
          <t>Apple FY2025 Form 10-K / SEC</t>
        </is>
      </c>
    </row>
    <row r="5">
      <c r="A5" s="5" t="n">
        <v>2023</v>
      </c>
      <c r="B5" s="6" t="inlineStr">
        <is>
          <t>P&amp;L</t>
        </is>
      </c>
      <c r="C5" s="6" t="inlineStr">
        <is>
          <t>Net Income</t>
        </is>
      </c>
      <c r="D5" s="6" t="n">
        <v>96995</v>
      </c>
      <c r="E5" s="46" t="inlineStr">
        <is>
          <t>Apple FY2025 Form 10-K / SEC</t>
        </is>
      </c>
    </row>
    <row r="6">
      <c r="A6" s="5" t="n">
        <v>2023</v>
      </c>
      <c r="B6" s="6" t="inlineStr">
        <is>
          <t>P&amp;L</t>
        </is>
      </c>
      <c r="C6" s="6" t="inlineStr">
        <is>
          <t>R&amp;D</t>
        </is>
      </c>
      <c r="D6" s="6" t="n">
        <v>29915</v>
      </c>
      <c r="E6" s="46" t="inlineStr">
        <is>
          <t>Apple FY2025 Form 10-K / SEC</t>
        </is>
      </c>
    </row>
    <row r="7">
      <c r="A7" s="5" t="n">
        <v>2023</v>
      </c>
      <c r="B7" s="6" t="inlineStr">
        <is>
          <t>P&amp;L</t>
        </is>
      </c>
      <c r="C7" s="6" t="inlineStr">
        <is>
          <t>SG&amp;A</t>
        </is>
      </c>
      <c r="D7" s="6" t="n">
        <v>24932</v>
      </c>
      <c r="E7" s="46" t="inlineStr">
        <is>
          <t>Apple FY2025 Form 10-K / SEC</t>
        </is>
      </c>
    </row>
    <row r="8">
      <c r="A8" s="5" t="n">
        <v>2024</v>
      </c>
      <c r="B8" s="6" t="inlineStr">
        <is>
          <t>P&amp;L</t>
        </is>
      </c>
      <c r="C8" s="6" t="inlineStr">
        <is>
          <t>Revenue</t>
        </is>
      </c>
      <c r="D8" s="6" t="n">
        <v>391035</v>
      </c>
      <c r="E8" s="46" t="inlineStr">
        <is>
          <t>Apple FY2025 Form 10-K / SEC</t>
        </is>
      </c>
    </row>
    <row r="9">
      <c r="A9" s="5" t="n">
        <v>2024</v>
      </c>
      <c r="B9" s="6" t="inlineStr">
        <is>
          <t>P&amp;L</t>
        </is>
      </c>
      <c r="C9" s="6" t="inlineStr">
        <is>
          <t>Gross Profit</t>
        </is>
      </c>
      <c r="D9" s="6" t="n">
        <v>180683</v>
      </c>
      <c r="E9" s="46" t="inlineStr">
        <is>
          <t>Apple FY2025 Form 10-K / SEC</t>
        </is>
      </c>
    </row>
    <row r="10">
      <c r="A10" s="5" t="n">
        <v>2024</v>
      </c>
      <c r="B10" s="6" t="inlineStr">
        <is>
          <t>P&amp;L</t>
        </is>
      </c>
      <c r="C10" s="6" t="inlineStr">
        <is>
          <t>Operating Income</t>
        </is>
      </c>
      <c r="D10" s="6" t="n">
        <v>123216</v>
      </c>
      <c r="E10" s="46" t="inlineStr">
        <is>
          <t>Apple FY2025 Form 10-K / SEC</t>
        </is>
      </c>
    </row>
    <row r="11">
      <c r="A11" s="5" t="n">
        <v>2024</v>
      </c>
      <c r="B11" s="6" t="inlineStr">
        <is>
          <t>P&amp;L</t>
        </is>
      </c>
      <c r="C11" s="6" t="inlineStr">
        <is>
          <t>Net Income</t>
        </is>
      </c>
      <c r="D11" s="6" t="n">
        <v>93736</v>
      </c>
      <c r="E11" s="46" t="inlineStr">
        <is>
          <t>Apple FY2025 Form 10-K / SEC</t>
        </is>
      </c>
    </row>
    <row r="12">
      <c r="A12" s="5" t="n">
        <v>2024</v>
      </c>
      <c r="B12" s="6" t="inlineStr">
        <is>
          <t>P&amp;L</t>
        </is>
      </c>
      <c r="C12" s="6" t="inlineStr">
        <is>
          <t>R&amp;D</t>
        </is>
      </c>
      <c r="D12" s="6" t="n">
        <v>31370</v>
      </c>
      <c r="E12" s="46" t="inlineStr">
        <is>
          <t>Apple FY2025 Form 10-K / SEC</t>
        </is>
      </c>
    </row>
    <row r="13">
      <c r="A13" s="5" t="n">
        <v>2024</v>
      </c>
      <c r="B13" s="6" t="inlineStr">
        <is>
          <t>P&amp;L</t>
        </is>
      </c>
      <c r="C13" s="6" t="inlineStr">
        <is>
          <t>SG&amp;A</t>
        </is>
      </c>
      <c r="D13" s="6" t="n">
        <v>26097</v>
      </c>
      <c r="E13" s="46" t="inlineStr">
        <is>
          <t>Apple FY2025 Form 10-K / SEC</t>
        </is>
      </c>
    </row>
    <row r="14">
      <c r="A14" s="5" t="n">
        <v>2025</v>
      </c>
      <c r="B14" s="6" t="inlineStr">
        <is>
          <t>P&amp;L</t>
        </is>
      </c>
      <c r="C14" s="6" t="inlineStr">
        <is>
          <t>Revenue</t>
        </is>
      </c>
      <c r="D14" s="6" t="n">
        <v>416161</v>
      </c>
      <c r="E14" s="46" t="inlineStr">
        <is>
          <t>Apple FY2025 Form 10-K / SEC</t>
        </is>
      </c>
    </row>
    <row r="15">
      <c r="A15" s="5" t="n">
        <v>2025</v>
      </c>
      <c r="B15" s="6" t="inlineStr">
        <is>
          <t>P&amp;L</t>
        </is>
      </c>
      <c r="C15" s="6" t="inlineStr">
        <is>
          <t>Gross Profit</t>
        </is>
      </c>
      <c r="D15" s="6" t="n">
        <v>195201</v>
      </c>
      <c r="E15" s="46" t="inlineStr">
        <is>
          <t>Apple FY2025 Form 10-K / SEC</t>
        </is>
      </c>
    </row>
    <row r="16">
      <c r="A16" s="5" t="n">
        <v>2025</v>
      </c>
      <c r="B16" s="6" t="inlineStr">
        <is>
          <t>P&amp;L</t>
        </is>
      </c>
      <c r="C16" s="6" t="inlineStr">
        <is>
          <t>Operating Income</t>
        </is>
      </c>
      <c r="D16" s="6" t="n">
        <v>133050</v>
      </c>
      <c r="E16" s="46" t="inlineStr">
        <is>
          <t>Apple FY2025 Form 10-K / SEC</t>
        </is>
      </c>
    </row>
    <row r="17">
      <c r="A17" s="5" t="n">
        <v>2025</v>
      </c>
      <c r="B17" s="6" t="inlineStr">
        <is>
          <t>P&amp;L</t>
        </is>
      </c>
      <c r="C17" s="6" t="inlineStr">
        <is>
          <t>Net Income</t>
        </is>
      </c>
      <c r="D17" s="6" t="n">
        <v>112010</v>
      </c>
      <c r="E17" s="46" t="inlineStr">
        <is>
          <t>Apple FY2025 Form 10-K / SEC</t>
        </is>
      </c>
    </row>
    <row r="18">
      <c r="A18" s="5" t="n">
        <v>2025</v>
      </c>
      <c r="B18" s="6" t="inlineStr">
        <is>
          <t>P&amp;L</t>
        </is>
      </c>
      <c r="C18" s="6" t="inlineStr">
        <is>
          <t>R&amp;D</t>
        </is>
      </c>
      <c r="D18" s="6" t="n">
        <v>34550</v>
      </c>
      <c r="E18" s="46" t="inlineStr">
        <is>
          <t>Apple FY2025 Form 10-K / SEC</t>
        </is>
      </c>
    </row>
    <row r="19">
      <c r="A19" s="5" t="n">
        <v>2025</v>
      </c>
      <c r="B19" s="6" t="inlineStr">
        <is>
          <t>P&amp;L</t>
        </is>
      </c>
      <c r="C19" s="6" t="inlineStr">
        <is>
          <t>SG&amp;A</t>
        </is>
      </c>
      <c r="D19" s="6" t="n">
        <v>27601</v>
      </c>
      <c r="E19" s="46" t="inlineStr">
        <is>
          <t>Apple FY2025 Form 10-K / SEC</t>
        </is>
      </c>
    </row>
    <row r="20">
      <c r="A20" s="5" t="n">
        <v>2023</v>
      </c>
      <c r="B20" s="6" t="inlineStr">
        <is>
          <t>Product Revenue</t>
        </is>
      </c>
      <c r="C20" s="6" t="inlineStr">
        <is>
          <t>iPhone</t>
        </is>
      </c>
      <c r="D20" s="6" t="n">
        <v>200583</v>
      </c>
      <c r="E20" s="46" t="inlineStr">
        <is>
          <t>Apple FY2025 Form 10-K / SEC</t>
        </is>
      </c>
    </row>
    <row r="21">
      <c r="A21" s="5" t="n">
        <v>2023</v>
      </c>
      <c r="B21" s="6" t="inlineStr">
        <is>
          <t>Product Revenue</t>
        </is>
      </c>
      <c r="C21" s="6" t="inlineStr">
        <is>
          <t>Mac</t>
        </is>
      </c>
      <c r="D21" s="6" t="n">
        <v>29357</v>
      </c>
      <c r="E21" s="46" t="inlineStr">
        <is>
          <t>Apple FY2025 Form 10-K / SEC</t>
        </is>
      </c>
    </row>
    <row r="22">
      <c r="A22" s="5" t="n">
        <v>2023</v>
      </c>
      <c r="B22" s="6" t="inlineStr">
        <is>
          <t>Product Revenue</t>
        </is>
      </c>
      <c r="C22" s="6" t="inlineStr">
        <is>
          <t>iPad</t>
        </is>
      </c>
      <c r="D22" s="6" t="n">
        <v>28300</v>
      </c>
      <c r="E22" s="46" t="inlineStr">
        <is>
          <t>Apple FY2025 Form 10-K / SEC</t>
        </is>
      </c>
    </row>
    <row r="23">
      <c r="A23" s="5" t="n">
        <v>2023</v>
      </c>
      <c r="B23" s="6" t="inlineStr">
        <is>
          <t>Product Revenue</t>
        </is>
      </c>
      <c r="C23" s="6" t="inlineStr">
        <is>
          <t>Wearables, Home &amp; Accessories</t>
        </is>
      </c>
      <c r="D23" s="6" t="n">
        <v>39845</v>
      </c>
      <c r="E23" s="46" t="inlineStr">
        <is>
          <t>Apple FY2025 Form 10-K / SEC</t>
        </is>
      </c>
    </row>
    <row r="24">
      <c r="A24" s="5" t="n">
        <v>2023</v>
      </c>
      <c r="B24" s="6" t="inlineStr">
        <is>
          <t>Product Revenue</t>
        </is>
      </c>
      <c r="C24" s="6" t="inlineStr">
        <is>
          <t>Services</t>
        </is>
      </c>
      <c r="D24" s="6" t="n">
        <v>85200</v>
      </c>
      <c r="E24" s="46" t="inlineStr">
        <is>
          <t>Apple FY2025 Form 10-K / SEC</t>
        </is>
      </c>
    </row>
    <row r="25">
      <c r="A25" s="5" t="n">
        <v>2024</v>
      </c>
      <c r="B25" s="6" t="inlineStr">
        <is>
          <t>Product Revenue</t>
        </is>
      </c>
      <c r="C25" s="6" t="inlineStr">
        <is>
          <t>iPhone</t>
        </is>
      </c>
      <c r="D25" s="6" t="n">
        <v>201183</v>
      </c>
      <c r="E25" s="46" t="inlineStr">
        <is>
          <t>Apple FY2025 Form 10-K / SEC</t>
        </is>
      </c>
    </row>
    <row r="26">
      <c r="A26" s="5" t="n">
        <v>2024</v>
      </c>
      <c r="B26" s="6" t="inlineStr">
        <is>
          <t>Product Revenue</t>
        </is>
      </c>
      <c r="C26" s="6" t="inlineStr">
        <is>
          <t>Mac</t>
        </is>
      </c>
      <c r="D26" s="6" t="n">
        <v>29984</v>
      </c>
      <c r="E26" s="46" t="inlineStr">
        <is>
          <t>Apple FY2025 Form 10-K / SEC</t>
        </is>
      </c>
    </row>
    <row r="27">
      <c r="A27" s="5" t="n">
        <v>2024</v>
      </c>
      <c r="B27" s="6" t="inlineStr">
        <is>
          <t>Product Revenue</t>
        </is>
      </c>
      <c r="C27" s="6" t="inlineStr">
        <is>
          <t>iPad</t>
        </is>
      </c>
      <c r="D27" s="6" t="n">
        <v>26694</v>
      </c>
      <c r="E27" s="46" t="inlineStr">
        <is>
          <t>Apple FY2025 Form 10-K / SEC</t>
        </is>
      </c>
    </row>
    <row r="28">
      <c r="A28" s="5" t="n">
        <v>2024</v>
      </c>
      <c r="B28" s="6" t="inlineStr">
        <is>
          <t>Product Revenue</t>
        </is>
      </c>
      <c r="C28" s="6" t="inlineStr">
        <is>
          <t>Wearables, Home &amp; Accessories</t>
        </is>
      </c>
      <c r="D28" s="6" t="n">
        <v>37005</v>
      </c>
      <c r="E28" s="46" t="inlineStr">
        <is>
          <t>Apple FY2025 Form 10-K / SEC</t>
        </is>
      </c>
    </row>
    <row r="29">
      <c r="A29" s="5" t="n">
        <v>2024</v>
      </c>
      <c r="B29" s="6" t="inlineStr">
        <is>
          <t>Product Revenue</t>
        </is>
      </c>
      <c r="C29" s="6" t="inlineStr">
        <is>
          <t>Services</t>
        </is>
      </c>
      <c r="D29" s="6" t="n">
        <v>96169</v>
      </c>
      <c r="E29" s="46" t="inlineStr">
        <is>
          <t>Apple FY2025 Form 10-K / SEC</t>
        </is>
      </c>
    </row>
    <row r="30">
      <c r="A30" s="5" t="n">
        <v>2025</v>
      </c>
      <c r="B30" s="6" t="inlineStr">
        <is>
          <t>Product Revenue</t>
        </is>
      </c>
      <c r="C30" s="6" t="inlineStr">
        <is>
          <t>iPhone</t>
        </is>
      </c>
      <c r="D30" s="6" t="n">
        <v>209586</v>
      </c>
      <c r="E30" s="46" t="inlineStr">
        <is>
          <t>Apple FY2025 Form 10-K / SEC</t>
        </is>
      </c>
    </row>
    <row r="31">
      <c r="A31" s="5" t="n">
        <v>2025</v>
      </c>
      <c r="B31" s="6" t="inlineStr">
        <is>
          <t>Product Revenue</t>
        </is>
      </c>
      <c r="C31" s="6" t="inlineStr">
        <is>
          <t>Mac</t>
        </is>
      </c>
      <c r="D31" s="6" t="n">
        <v>33708</v>
      </c>
      <c r="E31" s="46" t="inlineStr">
        <is>
          <t>Apple FY2025 Form 10-K / SEC</t>
        </is>
      </c>
    </row>
    <row r="32">
      <c r="A32" s="5" t="n">
        <v>2025</v>
      </c>
      <c r="B32" s="6" t="inlineStr">
        <is>
          <t>Product Revenue</t>
        </is>
      </c>
      <c r="C32" s="6" t="inlineStr">
        <is>
          <t>iPad</t>
        </is>
      </c>
      <c r="D32" s="6" t="n">
        <v>28023</v>
      </c>
      <c r="E32" s="46" t="inlineStr">
        <is>
          <t>Apple FY2025 Form 10-K / SEC</t>
        </is>
      </c>
    </row>
    <row r="33">
      <c r="A33" s="5" t="n">
        <v>2025</v>
      </c>
      <c r="B33" s="6" t="inlineStr">
        <is>
          <t>Product Revenue</t>
        </is>
      </c>
      <c r="C33" s="6" t="inlineStr">
        <is>
          <t>Wearables, Home &amp; Accessories</t>
        </is>
      </c>
      <c r="D33" s="6" t="n">
        <v>35686</v>
      </c>
      <c r="E33" s="46" t="inlineStr">
        <is>
          <t>Apple FY2025 Form 10-K / SEC</t>
        </is>
      </c>
    </row>
    <row r="34">
      <c r="A34" s="5" t="n">
        <v>2025</v>
      </c>
      <c r="B34" s="6" t="inlineStr">
        <is>
          <t>Product Revenue</t>
        </is>
      </c>
      <c r="C34" s="6" t="inlineStr">
        <is>
          <t>Services</t>
        </is>
      </c>
      <c r="D34" s="6" t="n">
        <v>109158</v>
      </c>
      <c r="E34" s="46" t="inlineStr">
        <is>
          <t>Apple FY2025 Form 10-K / SEC</t>
        </is>
      </c>
    </row>
    <row r="35">
      <c r="A35" s="5" t="n">
        <v>2023</v>
      </c>
      <c r="B35" s="6" t="inlineStr">
        <is>
          <t>Geography Revenue</t>
        </is>
      </c>
      <c r="C35" s="6" t="inlineStr">
        <is>
          <t>Americas</t>
        </is>
      </c>
      <c r="D35" s="6" t="n">
        <v>162560</v>
      </c>
      <c r="E35" s="46" t="inlineStr">
        <is>
          <t>Apple FY2025 Form 10-K / SEC</t>
        </is>
      </c>
    </row>
    <row r="36">
      <c r="A36" s="5" t="n">
        <v>2023</v>
      </c>
      <c r="B36" s="6" t="inlineStr">
        <is>
          <t>Geography Revenue</t>
        </is>
      </c>
      <c r="C36" s="6" t="inlineStr">
        <is>
          <t>Europe</t>
        </is>
      </c>
      <c r="D36" s="6" t="n">
        <v>94294</v>
      </c>
      <c r="E36" s="46" t="inlineStr">
        <is>
          <t>Apple FY2025 Form 10-K / SEC</t>
        </is>
      </c>
    </row>
    <row r="37">
      <c r="A37" s="5" t="n">
        <v>2023</v>
      </c>
      <c r="B37" s="6" t="inlineStr">
        <is>
          <t>Geography Revenue</t>
        </is>
      </c>
      <c r="C37" s="6" t="inlineStr">
        <is>
          <t>Greater China</t>
        </is>
      </c>
      <c r="D37" s="6" t="n">
        <v>72559</v>
      </c>
      <c r="E37" s="46" t="inlineStr">
        <is>
          <t>Apple FY2025 Form 10-K / SEC</t>
        </is>
      </c>
    </row>
    <row r="38">
      <c r="A38" s="5" t="n">
        <v>2023</v>
      </c>
      <c r="B38" s="6" t="inlineStr">
        <is>
          <t>Geography Revenue</t>
        </is>
      </c>
      <c r="C38" s="6" t="inlineStr">
        <is>
          <t>Japan</t>
        </is>
      </c>
      <c r="D38" s="6" t="n">
        <v>24257</v>
      </c>
      <c r="E38" s="46" t="inlineStr">
        <is>
          <t>Apple FY2025 Form 10-K / SEC</t>
        </is>
      </c>
    </row>
    <row r="39">
      <c r="A39" s="5" t="n">
        <v>2023</v>
      </c>
      <c r="B39" s="6" t="inlineStr">
        <is>
          <t>Geography Revenue</t>
        </is>
      </c>
      <c r="C39" s="6" t="inlineStr">
        <is>
          <t>Rest of Asia Pacific</t>
        </is>
      </c>
      <c r="D39" s="6" t="n">
        <v>29615</v>
      </c>
      <c r="E39" s="46" t="inlineStr">
        <is>
          <t>Apple FY2025 Form 10-K / SEC</t>
        </is>
      </c>
    </row>
    <row r="40">
      <c r="A40" s="5" t="n">
        <v>2024</v>
      </c>
      <c r="B40" s="6" t="inlineStr">
        <is>
          <t>Geography Revenue</t>
        </is>
      </c>
      <c r="C40" s="6" t="inlineStr">
        <is>
          <t>Americas</t>
        </is>
      </c>
      <c r="D40" s="6" t="n">
        <v>167045</v>
      </c>
      <c r="E40" s="46" t="inlineStr">
        <is>
          <t>Apple FY2025 Form 10-K / SEC</t>
        </is>
      </c>
    </row>
    <row r="41">
      <c r="A41" s="5" t="n">
        <v>2024</v>
      </c>
      <c r="B41" s="6" t="inlineStr">
        <is>
          <t>Geography Revenue</t>
        </is>
      </c>
      <c r="C41" s="6" t="inlineStr">
        <is>
          <t>Europe</t>
        </is>
      </c>
      <c r="D41" s="6" t="n">
        <v>101328</v>
      </c>
      <c r="E41" s="46" t="inlineStr">
        <is>
          <t>Apple FY2025 Form 10-K / SEC</t>
        </is>
      </c>
    </row>
    <row r="42">
      <c r="A42" s="5" t="n">
        <v>2024</v>
      </c>
      <c r="B42" s="6" t="inlineStr">
        <is>
          <t>Geography Revenue</t>
        </is>
      </c>
      <c r="C42" s="6" t="inlineStr">
        <is>
          <t>Greater China</t>
        </is>
      </c>
      <c r="D42" s="6" t="n">
        <v>66952</v>
      </c>
      <c r="E42" s="46" t="inlineStr">
        <is>
          <t>Apple FY2025 Form 10-K / SEC</t>
        </is>
      </c>
    </row>
    <row r="43">
      <c r="A43" s="5" t="n">
        <v>2024</v>
      </c>
      <c r="B43" s="6" t="inlineStr">
        <is>
          <t>Geography Revenue</t>
        </is>
      </c>
      <c r="C43" s="6" t="inlineStr">
        <is>
          <t>Japan</t>
        </is>
      </c>
      <c r="D43" s="6" t="n">
        <v>25052</v>
      </c>
      <c r="E43" s="46" t="inlineStr">
        <is>
          <t>Apple FY2025 Form 10-K / SEC</t>
        </is>
      </c>
    </row>
    <row r="44">
      <c r="A44" s="5" t="n">
        <v>2024</v>
      </c>
      <c r="B44" s="6" t="inlineStr">
        <is>
          <t>Geography Revenue</t>
        </is>
      </c>
      <c r="C44" s="6" t="inlineStr">
        <is>
          <t>Rest of Asia Pacific</t>
        </is>
      </c>
      <c r="D44" s="6" t="n">
        <v>30658</v>
      </c>
      <c r="E44" s="46" t="inlineStr">
        <is>
          <t>Apple FY2025 Form 10-K / SEC</t>
        </is>
      </c>
    </row>
    <row r="45">
      <c r="A45" s="5" t="n">
        <v>2025</v>
      </c>
      <c r="B45" s="6" t="inlineStr">
        <is>
          <t>Geography Revenue</t>
        </is>
      </c>
      <c r="C45" s="6" t="inlineStr">
        <is>
          <t>Americas</t>
        </is>
      </c>
      <c r="D45" s="6" t="n">
        <v>178353</v>
      </c>
      <c r="E45" s="46" t="inlineStr">
        <is>
          <t>Apple FY2025 Form 10-K / SEC</t>
        </is>
      </c>
    </row>
    <row r="46">
      <c r="A46" s="5" t="n">
        <v>2025</v>
      </c>
      <c r="B46" s="6" t="inlineStr">
        <is>
          <t>Geography Revenue</t>
        </is>
      </c>
      <c r="C46" s="6" t="inlineStr">
        <is>
          <t>Europe</t>
        </is>
      </c>
      <c r="D46" s="6" t="n">
        <v>111032</v>
      </c>
      <c r="E46" s="46" t="inlineStr">
        <is>
          <t>Apple FY2025 Form 10-K / SEC</t>
        </is>
      </c>
    </row>
    <row r="47">
      <c r="A47" s="5" t="n">
        <v>2025</v>
      </c>
      <c r="B47" s="6" t="inlineStr">
        <is>
          <t>Geography Revenue</t>
        </is>
      </c>
      <c r="C47" s="6" t="inlineStr">
        <is>
          <t>Greater China</t>
        </is>
      </c>
      <c r="D47" s="6" t="n">
        <v>64377</v>
      </c>
      <c r="E47" s="46" t="inlineStr">
        <is>
          <t>Apple FY2025 Form 10-K / SEC</t>
        </is>
      </c>
    </row>
    <row r="48">
      <c r="A48" s="5" t="n">
        <v>2025</v>
      </c>
      <c r="B48" s="6" t="inlineStr">
        <is>
          <t>Geography Revenue</t>
        </is>
      </c>
      <c r="C48" s="6" t="inlineStr">
        <is>
          <t>Japan</t>
        </is>
      </c>
      <c r="D48" s="6" t="n">
        <v>28703</v>
      </c>
      <c r="E48" s="46" t="inlineStr">
        <is>
          <t>Apple FY2025 Form 10-K / SEC</t>
        </is>
      </c>
    </row>
    <row r="49">
      <c r="A49" s="5" t="n">
        <v>2025</v>
      </c>
      <c r="B49" s="6" t="inlineStr">
        <is>
          <t>Geography Revenue</t>
        </is>
      </c>
      <c r="C49" s="6" t="inlineStr">
        <is>
          <t>Rest of Asia Pacific</t>
        </is>
      </c>
      <c r="D49" s="6" t="n">
        <v>33696</v>
      </c>
      <c r="E49" s="46" t="inlineStr">
        <is>
          <t>Apple FY2025 Form 10-K / SEC</t>
        </is>
      </c>
    </row>
  </sheetData>
  <autoFilter ref="A1:D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22" t="inlineStr">
        <is>
          <t>Apple Financial Intelligence — Excel Dashboard</t>
        </is>
      </c>
    </row>
    <row r="2">
      <c r="A2" s="24" t="inlineStr">
        <is>
          <t>Interactive Excel companion • use Control Center for year selection and comparison.</t>
        </is>
      </c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L2" s="25">
        <f>HYPERLINK("#'Control Center'!A1","← Control Center")</f>
        <v/>
      </c>
    </row>
    <row r="3">
      <c r="A3" s="26" t="inlineStr">
        <is>
          <t>Revenue</t>
        </is>
      </c>
      <c r="B3" s="23" t="n"/>
      <c r="C3" s="26" t="inlineStr">
        <is>
          <t>Net Income</t>
        </is>
      </c>
      <c r="D3" s="23" t="n"/>
      <c r="E3" s="26" t="inlineStr">
        <is>
          <t>Gross Margin</t>
        </is>
      </c>
      <c r="F3" s="23" t="n"/>
      <c r="G3" s="26" t="inlineStr">
        <is>
          <t>Operating Margin</t>
        </is>
      </c>
      <c r="H3" s="23" t="n"/>
      <c r="I3" s="26" t="inlineStr">
        <is>
          <t>Net Margin</t>
        </is>
      </c>
      <c r="J3" s="23" t="n"/>
      <c r="L3" s="25">
        <f>HYPERLINK("#'KPI Summary'!A1","KPI Summary")</f>
        <v/>
      </c>
    </row>
    <row r="4">
      <c r="A4" s="27" t="n">
        <v>416161</v>
      </c>
      <c r="B4" s="23" t="n"/>
      <c r="C4" s="27" t="n">
        <v>112010</v>
      </c>
      <c r="D4" s="23" t="n"/>
      <c r="E4" s="28" t="n">
        <v>0.4690516410716045</v>
      </c>
      <c r="F4" s="23" t="n"/>
      <c r="G4" s="28" t="n">
        <v>0.3197079976259188</v>
      </c>
      <c r="H4" s="23" t="n"/>
      <c r="I4" s="28" t="n">
        <v>0.2691506412181824</v>
      </c>
      <c r="J4" s="23" t="n"/>
      <c r="L4" s="25">
        <f>HYPERLINK("#'Pivot Detail'!A1","Pivot Detail")</f>
        <v/>
      </c>
    </row>
    <row r="5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L5" s="25">
        <f>HYPERLINK("#'Data Dictionary'!A1","Data Dictionary")</f>
        <v/>
      </c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</row>
    <row r="7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</row>
    <row r="8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</row>
    <row r="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</row>
    <row r="39">
      <c r="A39" s="24" t="inlineStr">
        <is>
          <t>Note: Excel charts are native chart objects; the HTML dashboard provides the richer hover/click interaction required for the web submission.</t>
        </is>
      </c>
    </row>
    <row r="40"/>
  </sheetData>
  <mergeCells count="2">
    <mergeCell ref="A1:J1"/>
    <mergeCell ref="A39:J40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8" customWidth="1" min="2" max="2"/>
    <col width="18" customWidth="1" min="3" max="3"/>
    <col width="28" customWidth="1" min="4" max="4"/>
  </cols>
  <sheetData>
    <row r="1">
      <c r="A1" s="29" t="inlineStr">
        <is>
          <t>DATA DICTIONARY &amp; METHODOLOGY</t>
        </is>
      </c>
    </row>
    <row r="2">
      <c r="A2" s="16" t="inlineStr">
        <is>
          <t>Field / Concept</t>
        </is>
      </c>
      <c r="B2" s="16" t="inlineStr">
        <is>
          <t>Definition</t>
        </is>
      </c>
      <c r="C2" s="16" t="inlineStr">
        <is>
          <t>Unit</t>
        </is>
      </c>
      <c r="D2" s="16" t="inlineStr">
        <is>
          <t>Treatment</t>
        </is>
      </c>
    </row>
    <row r="3">
      <c r="A3" s="30" t="inlineStr">
        <is>
          <t>Revenue</t>
        </is>
      </c>
      <c r="B3" s="30" t="inlineStr">
        <is>
          <t>Total reported net sales for the fiscal year</t>
        </is>
      </c>
      <c r="C3" s="30" t="inlineStr">
        <is>
          <t>USD millions</t>
        </is>
      </c>
      <c r="D3" s="30" t="inlineStr">
        <is>
          <t>Reported</t>
        </is>
      </c>
    </row>
    <row r="4">
      <c r="A4" s="30" t="inlineStr">
        <is>
          <t>Gross Profit</t>
        </is>
      </c>
      <c r="B4" s="30" t="inlineStr">
        <is>
          <t>Revenue less cost of sales</t>
        </is>
      </c>
      <c r="C4" s="30" t="inlineStr">
        <is>
          <t>USD millions</t>
        </is>
      </c>
      <c r="D4" s="30" t="inlineStr">
        <is>
          <t>Reported</t>
        </is>
      </c>
    </row>
    <row r="5">
      <c r="A5" s="30" t="inlineStr">
        <is>
          <t>Operating Income</t>
        </is>
      </c>
      <c r="B5" s="30" t="inlineStr">
        <is>
          <t>Operating profit after operating expenses</t>
        </is>
      </c>
      <c r="C5" s="30" t="inlineStr">
        <is>
          <t>USD millions</t>
        </is>
      </c>
      <c r="D5" s="30" t="inlineStr">
        <is>
          <t>Reported</t>
        </is>
      </c>
    </row>
    <row r="6">
      <c r="A6" s="30" t="inlineStr">
        <is>
          <t>Net Income</t>
        </is>
      </c>
      <c r="B6" s="30" t="inlineStr">
        <is>
          <t>Net earnings attributable to Apple</t>
        </is>
      </c>
      <c r="C6" s="30" t="inlineStr">
        <is>
          <t>USD millions</t>
        </is>
      </c>
      <c r="D6" s="30" t="inlineStr">
        <is>
          <t>Reported</t>
        </is>
      </c>
    </row>
    <row r="7">
      <c r="A7" s="30" t="inlineStr">
        <is>
          <t>Gross Margin</t>
        </is>
      </c>
      <c r="B7" s="30" t="inlineStr">
        <is>
          <t>Gross Profit / Revenue</t>
        </is>
      </c>
      <c r="C7" s="30" t="inlineStr">
        <is>
          <t>%</t>
        </is>
      </c>
      <c r="D7" s="30" t="inlineStr">
        <is>
          <t>Calculated</t>
        </is>
      </c>
    </row>
    <row r="8">
      <c r="A8" s="30" t="inlineStr">
        <is>
          <t>Operating Margin</t>
        </is>
      </c>
      <c r="B8" s="30" t="inlineStr">
        <is>
          <t>Operating Income / Revenue</t>
        </is>
      </c>
      <c r="C8" s="30" t="inlineStr">
        <is>
          <t>%</t>
        </is>
      </c>
      <c r="D8" s="30" t="inlineStr">
        <is>
          <t>Calculated</t>
        </is>
      </c>
    </row>
    <row r="9">
      <c r="A9" s="30" t="inlineStr">
        <is>
          <t>Net Margin</t>
        </is>
      </c>
      <c r="B9" s="30" t="inlineStr">
        <is>
          <t>Net Income / Revenue</t>
        </is>
      </c>
      <c r="C9" s="30" t="inlineStr">
        <is>
          <t>%</t>
        </is>
      </c>
      <c r="D9" s="30" t="inlineStr">
        <is>
          <t>Calculated</t>
        </is>
      </c>
    </row>
    <row r="10">
      <c r="A10" s="30" t="inlineStr">
        <is>
          <t>YoY Growth</t>
        </is>
      </c>
      <c r="B10" s="30" t="inlineStr">
        <is>
          <t>Current year / prior year - 1</t>
        </is>
      </c>
      <c r="C10" s="30" t="inlineStr">
        <is>
          <t>%</t>
        </is>
      </c>
      <c r="D10" s="30" t="inlineStr">
        <is>
          <t>Calculated</t>
        </is>
      </c>
    </row>
    <row r="11">
      <c r="A11" s="30" t="inlineStr">
        <is>
          <t>Product Revenue</t>
        </is>
      </c>
      <c r="B11" s="30" t="inlineStr">
        <is>
          <t>Reported net sales by product/service category</t>
        </is>
      </c>
      <c r="C11" s="30" t="inlineStr">
        <is>
          <t>USD millions</t>
        </is>
      </c>
      <c r="D11" s="30" t="inlineStr">
        <is>
          <t>Reported</t>
        </is>
      </c>
    </row>
    <row r="12">
      <c r="A12" s="30" t="inlineStr">
        <is>
          <t>Geography Revenue</t>
        </is>
      </c>
      <c r="B12" s="30" t="inlineStr">
        <is>
          <t>Reported net sales by geographic region</t>
        </is>
      </c>
      <c r="C12" s="30" t="inlineStr">
        <is>
          <t>USD millions</t>
        </is>
      </c>
      <c r="D12" s="30" t="inlineStr">
        <is>
          <t>Reported</t>
        </is>
      </c>
    </row>
    <row r="16">
      <c r="A16" t="inlineStr">
        <is>
          <t>Source</t>
        </is>
      </c>
      <c r="B16" t="inlineStr">
        <is>
          <t>Apple Inc. FY2025 Form 10-K, U.S. SEC</t>
        </is>
      </c>
    </row>
    <row r="17">
      <c r="A17" t="inlineStr">
        <is>
          <t>Period</t>
        </is>
      </c>
      <c r="B17" t="inlineStr">
        <is>
          <t>FY2023–FY2025</t>
        </is>
      </c>
    </row>
    <row r="18">
      <c r="A18" t="inlineStr">
        <is>
          <t>Important note</t>
        </is>
      </c>
      <c r="B18" t="inlineStr">
        <is>
          <t>The HTML dashboard is the richer interactive web layer; this workbook is the editable Excel analysis layer with native tables, formulas, validation controls and charts.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DATA SOURCES &amp; CITATIONS</t>
        </is>
      </c>
    </row>
    <row r="3">
      <c r="A3" s="14" t="inlineStr">
        <is>
          <t>Primary source</t>
        </is>
      </c>
      <c r="B3" s="3" t="inlineStr">
        <is>
          <t>Apple Inc. — FY2025 Form 10-K</t>
        </is>
      </c>
    </row>
    <row r="4">
      <c r="A4" s="14" t="inlineStr">
        <is>
          <t>Filing period</t>
        </is>
      </c>
      <c r="B4" s="3" t="inlineStr">
        <is>
          <t>Fiscal year ended September 27, 2025</t>
        </is>
      </c>
    </row>
    <row r="5">
      <c r="A5" s="14" t="inlineStr">
        <is>
          <t>Filing / issuer</t>
        </is>
      </c>
      <c r="B5" s="3" t="inlineStr">
        <is>
          <t>Apple Inc.</t>
        </is>
      </c>
    </row>
    <row r="6">
      <c r="A6" s="14" t="inlineStr">
        <is>
          <t>Regulator</t>
        </is>
      </c>
      <c r="B6" s="3" t="inlineStr">
        <is>
          <t>U.S. Securities and Exchange Commission (SEC)</t>
        </is>
      </c>
    </row>
    <row r="7">
      <c r="B7" s="3" t="n"/>
    </row>
    <row r="8">
      <c r="A8" s="14" t="inlineStr">
        <is>
          <t>SEC filing</t>
        </is>
      </c>
      <c r="B8" s="3">
        <f>HYPERLINK("https://www.sec.gov/Archives/edgar/data/320193/000032019325000079/aapl-20250927.htm","Open Apple FY2025 Form 10-K at SEC")</f>
        <v/>
      </c>
    </row>
    <row r="9">
      <c r="A9" s="14" t="inlineStr">
        <is>
          <t>Apple Investor Relations</t>
        </is>
      </c>
      <c r="B9" s="3">
        <f>HYPERLINK("https://investor.apple.com/investor-relations/sec-filings/default.aspx?language=en-US","Open Apple SEC Filings page")</f>
        <v/>
      </c>
    </row>
    <row r="10">
      <c r="B10" s="3" t="n"/>
    </row>
    <row r="11">
      <c r="A11" s="14" t="inlineStr">
        <is>
          <t>Data used</t>
        </is>
      </c>
      <c r="B11" s="3" t="inlineStr">
        <is>
          <t>FY2023–FY2025 revenue, gross profit, operating income, net income, R&amp;D, SG&amp;A, product revenue and geographic revenue.</t>
        </is>
      </c>
    </row>
    <row r="12">
      <c r="A12" s="14" t="inlineStr">
        <is>
          <t>Calculated metrics</t>
        </is>
      </c>
      <c r="B12" s="3" t="inlineStr">
        <is>
          <t>Gross margin, operating margin, net margin, revenue share and YoY growth are calculated from reported figures.</t>
        </is>
      </c>
    </row>
    <row r="13">
      <c r="A13" s="14" t="inlineStr">
        <is>
          <t>Units</t>
        </is>
      </c>
      <c r="B13" s="3" t="inlineStr">
        <is>
          <t>USD millions unless otherwise stated.</t>
        </is>
      </c>
    </row>
    <row r="14">
      <c r="A14" s="14" t="inlineStr">
        <is>
          <t>Forecasts</t>
        </is>
      </c>
      <c r="B14" s="3" t="inlineStr">
        <is>
          <t>None.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2026-10-02T11:59:42Z</dcterms:created>
  <dcterms:modified xmlns:dcterms="http://purl.org/dc/terms/" xmlns:xsi="http://www.w3.org/2001/XMLSchema-instance" xsi:type="dcterms:W3CDTF">2026-10-02T12:05:20Z</dcterms:modified>
</cp:coreProperties>
</file>